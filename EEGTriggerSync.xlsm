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pplications\EEGprocessingGUI\EEGprocessingGUIv2.0\"/>
    </mc:Choice>
  </mc:AlternateContent>
  <bookViews>
    <workbookView xWindow="-15" yWindow="-15" windowWidth="8850" windowHeight="10965" activeTab="3"/>
  </bookViews>
  <sheets>
    <sheet name="SubjInfo" sheetId="1" r:id="rId1"/>
    <sheet name="SyncCalc" sheetId="2" r:id="rId2"/>
    <sheet name="Output" sheetId="5" r:id="rId3"/>
    <sheet name="NetstationInfo" sheetId="4" r:id="rId4"/>
  </sheets>
  <definedNames>
    <definedName name="_xlnm._FilterDatabase" localSheetId="3" hidden="1">NetstationInfo!$A$1:$H$152</definedName>
  </definedNames>
  <calcPr calcId="162913"/>
</workbook>
</file>

<file path=xl/calcChain.xml><?xml version="1.0" encoding="utf-8"?>
<calcChain xmlns="http://schemas.openxmlformats.org/spreadsheetml/2006/main">
  <c r="E166" i="4" l="1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65" i="4" l="1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" i="2"/>
  <c r="J277" i="2"/>
  <c r="K277" i="2"/>
  <c r="J278" i="2"/>
  <c r="K278" i="2"/>
  <c r="J279" i="2"/>
  <c r="M280" i="2" s="1"/>
  <c r="K279" i="2"/>
  <c r="M279" i="2"/>
  <c r="J280" i="2"/>
  <c r="K280" i="2"/>
  <c r="J281" i="2"/>
  <c r="K281" i="2"/>
  <c r="M281" i="2"/>
  <c r="J282" i="2"/>
  <c r="M282" i="2"/>
  <c r="K282" i="2"/>
  <c r="J283" i="2"/>
  <c r="K283" i="2"/>
  <c r="N284" i="2" s="1"/>
  <c r="J284" i="2"/>
  <c r="K284" i="2"/>
  <c r="J285" i="2"/>
  <c r="M285" i="2" s="1"/>
  <c r="K285" i="2"/>
  <c r="J286" i="2"/>
  <c r="K286" i="2"/>
  <c r="M286" i="2"/>
  <c r="J287" i="2"/>
  <c r="M287" i="2"/>
  <c r="K287" i="2"/>
  <c r="J288" i="2"/>
  <c r="M289" i="2" s="1"/>
  <c r="K288" i="2"/>
  <c r="M288" i="2"/>
  <c r="J289" i="2"/>
  <c r="K289" i="2"/>
  <c r="N289" i="2" s="1"/>
  <c r="J290" i="2"/>
  <c r="M290" i="2" s="1"/>
  <c r="K290" i="2"/>
  <c r="J291" i="2"/>
  <c r="M291" i="2"/>
  <c r="K291" i="2"/>
  <c r="J292" i="2"/>
  <c r="K292" i="2"/>
  <c r="J293" i="2"/>
  <c r="M293" i="2" s="1"/>
  <c r="K293" i="2"/>
  <c r="J294" i="2"/>
  <c r="K294" i="2"/>
  <c r="M294" i="2"/>
  <c r="J295" i="2"/>
  <c r="M295" i="2" s="1"/>
  <c r="K295" i="2"/>
  <c r="N295" i="2" s="1"/>
  <c r="J296" i="2"/>
  <c r="M296" i="2"/>
  <c r="K296" i="2"/>
  <c r="J297" i="2"/>
  <c r="M297" i="2" s="1"/>
  <c r="K297" i="2"/>
  <c r="J298" i="2"/>
  <c r="M299" i="2" s="1"/>
  <c r="K298" i="2"/>
  <c r="M298" i="2"/>
  <c r="J299" i="2"/>
  <c r="K299" i="2"/>
  <c r="N299" i="2" s="1"/>
  <c r="J300" i="2"/>
  <c r="M300" i="2" s="1"/>
  <c r="K300" i="2"/>
  <c r="J260" i="2"/>
  <c r="K260" i="2"/>
  <c r="J261" i="2"/>
  <c r="M261" i="2"/>
  <c r="K261" i="2"/>
  <c r="J262" i="2"/>
  <c r="M262" i="2" s="1"/>
  <c r="K262" i="2"/>
  <c r="J263" i="2"/>
  <c r="K263" i="2"/>
  <c r="J264" i="2"/>
  <c r="M264" i="2" s="1"/>
  <c r="K264" i="2"/>
  <c r="N265" i="2" s="1"/>
  <c r="J265" i="2"/>
  <c r="M265" i="2"/>
  <c r="K265" i="2"/>
  <c r="J266" i="2"/>
  <c r="M266" i="2" s="1"/>
  <c r="K266" i="2"/>
  <c r="J267" i="2"/>
  <c r="K267" i="2"/>
  <c r="J268" i="2"/>
  <c r="M268" i="2" s="1"/>
  <c r="K268" i="2"/>
  <c r="N269" i="2" s="1"/>
  <c r="J269" i="2"/>
  <c r="M269" i="2"/>
  <c r="K269" i="2"/>
  <c r="J270" i="2"/>
  <c r="M270" i="2" s="1"/>
  <c r="K270" i="2"/>
  <c r="J271" i="2"/>
  <c r="K271" i="2"/>
  <c r="J272" i="2"/>
  <c r="M272" i="2" s="1"/>
  <c r="K272" i="2"/>
  <c r="N272" i="2" s="1"/>
  <c r="J273" i="2"/>
  <c r="M273" i="2"/>
  <c r="K273" i="2"/>
  <c r="J274" i="2"/>
  <c r="M274" i="2" s="1"/>
  <c r="K274" i="2"/>
  <c r="J275" i="2"/>
  <c r="K275" i="2"/>
  <c r="J276" i="2"/>
  <c r="M276" i="2" s="1"/>
  <c r="K276" i="2"/>
  <c r="J251" i="2"/>
  <c r="K251" i="2"/>
  <c r="J252" i="2"/>
  <c r="K252" i="2"/>
  <c r="N252" i="2" s="1"/>
  <c r="J253" i="2"/>
  <c r="K253" i="2"/>
  <c r="M253" i="2"/>
  <c r="J254" i="2"/>
  <c r="M254" i="2" s="1"/>
  <c r="K254" i="2"/>
  <c r="J255" i="2"/>
  <c r="K255" i="2"/>
  <c r="J256" i="2"/>
  <c r="K256" i="2"/>
  <c r="M256" i="2"/>
  <c r="J257" i="2"/>
  <c r="M257" i="2" s="1"/>
  <c r="K257" i="2"/>
  <c r="N258" i="2" s="1"/>
  <c r="J258" i="2"/>
  <c r="M258" i="2"/>
  <c r="K258" i="2"/>
  <c r="J259" i="2"/>
  <c r="M260" i="2" s="1"/>
  <c r="K259" i="2"/>
  <c r="K4" i="2"/>
  <c r="K5" i="2"/>
  <c r="K6" i="2"/>
  <c r="K7" i="2"/>
  <c r="K8" i="2"/>
  <c r="K9" i="2"/>
  <c r="K10" i="2"/>
  <c r="K11" i="2"/>
  <c r="K12" i="2"/>
  <c r="K13" i="2"/>
  <c r="N14" i="2" s="1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N28" i="2" s="1"/>
  <c r="K28" i="2"/>
  <c r="K29" i="2"/>
  <c r="N30" i="2" s="1"/>
  <c r="K30" i="2"/>
  <c r="K31" i="2"/>
  <c r="K32" i="2"/>
  <c r="K33" i="2"/>
  <c r="K34" i="2"/>
  <c r="K35" i="2"/>
  <c r="N36" i="2" s="1"/>
  <c r="K36" i="2"/>
  <c r="K37" i="2"/>
  <c r="K38" i="2"/>
  <c r="K39" i="2"/>
  <c r="N39" i="2" s="1"/>
  <c r="K40" i="2"/>
  <c r="K41" i="2"/>
  <c r="K42" i="2"/>
  <c r="K43" i="2"/>
  <c r="K44" i="2"/>
  <c r="K45" i="2"/>
  <c r="K46" i="2"/>
  <c r="K47" i="2"/>
  <c r="K48" i="2"/>
  <c r="K49" i="2"/>
  <c r="K50" i="2"/>
  <c r="K51" i="2"/>
  <c r="N52" i="2" s="1"/>
  <c r="K52" i="2"/>
  <c r="K53" i="2"/>
  <c r="K54" i="2"/>
  <c r="K55" i="2"/>
  <c r="N55" i="2" s="1"/>
  <c r="K56" i="2"/>
  <c r="K57" i="2"/>
  <c r="K58" i="2"/>
  <c r="K59" i="2"/>
  <c r="N60" i="2" s="1"/>
  <c r="K60" i="2"/>
  <c r="K61" i="2"/>
  <c r="K62" i="2"/>
  <c r="K63" i="2"/>
  <c r="K64" i="2"/>
  <c r="K65" i="2"/>
  <c r="K66" i="2"/>
  <c r="K67" i="2"/>
  <c r="K68" i="2"/>
  <c r="K69" i="2"/>
  <c r="K70" i="2"/>
  <c r="K71" i="2"/>
  <c r="N71" i="2" s="1"/>
  <c r="K72" i="2"/>
  <c r="K73" i="2"/>
  <c r="K74" i="2"/>
  <c r="K75" i="2"/>
  <c r="K76" i="2"/>
  <c r="K77" i="2"/>
  <c r="N78" i="2" s="1"/>
  <c r="K78" i="2"/>
  <c r="K79" i="2"/>
  <c r="K80" i="2"/>
  <c r="K81" i="2"/>
  <c r="K82" i="2"/>
  <c r="K83" i="2"/>
  <c r="N84" i="2" s="1"/>
  <c r="K84" i="2"/>
  <c r="K85" i="2"/>
  <c r="K86" i="2"/>
  <c r="K87" i="2"/>
  <c r="N87" i="2" s="1"/>
  <c r="K88" i="2"/>
  <c r="K89" i="2"/>
  <c r="K90" i="2"/>
  <c r="K91" i="2"/>
  <c r="K92" i="2"/>
  <c r="K93" i="2"/>
  <c r="N94" i="2" s="1"/>
  <c r="K94" i="2"/>
  <c r="K95" i="2"/>
  <c r="K96" i="2"/>
  <c r="K97" i="2"/>
  <c r="K98" i="2"/>
  <c r="K99" i="2"/>
  <c r="N100" i="2" s="1"/>
  <c r="K100" i="2"/>
  <c r="K101" i="2"/>
  <c r="K102" i="2"/>
  <c r="K103" i="2"/>
  <c r="N103" i="2" s="1"/>
  <c r="K104" i="2"/>
  <c r="K105" i="2"/>
  <c r="K106" i="2"/>
  <c r="K107" i="2"/>
  <c r="K108" i="2"/>
  <c r="K109" i="2"/>
  <c r="N110" i="2" s="1"/>
  <c r="K110" i="2"/>
  <c r="K111" i="2"/>
  <c r="K112" i="2"/>
  <c r="K113" i="2"/>
  <c r="K114" i="2"/>
  <c r="K115" i="2"/>
  <c r="K116" i="2"/>
  <c r="K117" i="2"/>
  <c r="N117" i="2" s="1"/>
  <c r="K118" i="2"/>
  <c r="K119" i="2"/>
  <c r="N119" i="2" s="1"/>
  <c r="K120" i="2"/>
  <c r="K121" i="2"/>
  <c r="K122" i="2"/>
  <c r="K123" i="2"/>
  <c r="N124" i="2" s="1"/>
  <c r="K124" i="2"/>
  <c r="K125" i="2"/>
  <c r="N126" i="2" s="1"/>
  <c r="K126" i="2"/>
  <c r="K127" i="2"/>
  <c r="K128" i="2"/>
  <c r="K129" i="2"/>
  <c r="K130" i="2"/>
  <c r="K131" i="2"/>
  <c r="K132" i="2"/>
  <c r="K133" i="2"/>
  <c r="K134" i="2"/>
  <c r="K135" i="2"/>
  <c r="N135" i="2" s="1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N149" i="2" s="1"/>
  <c r="K150" i="2"/>
  <c r="K151" i="2"/>
  <c r="N151" i="2" s="1"/>
  <c r="K152" i="2"/>
  <c r="K153" i="2"/>
  <c r="K154" i="2"/>
  <c r="K155" i="2"/>
  <c r="N156" i="2" s="1"/>
  <c r="K156" i="2"/>
  <c r="K157" i="2"/>
  <c r="N158" i="2" s="1"/>
  <c r="K158" i="2"/>
  <c r="K159" i="2"/>
  <c r="K160" i="2"/>
  <c r="K161" i="2"/>
  <c r="K162" i="2"/>
  <c r="K163" i="2"/>
  <c r="K164" i="2"/>
  <c r="K165" i="2"/>
  <c r="N166" i="2" s="1"/>
  <c r="K166" i="2"/>
  <c r="K167" i="2"/>
  <c r="N167" i="2" s="1"/>
  <c r="K168" i="2"/>
  <c r="K169" i="2"/>
  <c r="K170" i="2"/>
  <c r="K171" i="2"/>
  <c r="K172" i="2"/>
  <c r="K173" i="2"/>
  <c r="K174" i="2"/>
  <c r="K175" i="2"/>
  <c r="K176" i="2"/>
  <c r="K177" i="2"/>
  <c r="K178" i="2"/>
  <c r="K179" i="2"/>
  <c r="N180" i="2" s="1"/>
  <c r="K180" i="2"/>
  <c r="K181" i="2"/>
  <c r="K182" i="2"/>
  <c r="K183" i="2"/>
  <c r="N183" i="2" s="1"/>
  <c r="K184" i="2"/>
  <c r="K185" i="2"/>
  <c r="K186" i="2"/>
  <c r="K187" i="2"/>
  <c r="K188" i="2"/>
  <c r="K189" i="2"/>
  <c r="N190" i="2" s="1"/>
  <c r="K190" i="2"/>
  <c r="K191" i="2"/>
  <c r="K192" i="2"/>
  <c r="K193" i="2"/>
  <c r="K194" i="2"/>
  <c r="K195" i="2"/>
  <c r="K196" i="2"/>
  <c r="K197" i="2"/>
  <c r="N198" i="2" s="1"/>
  <c r="K198" i="2"/>
  <c r="K199" i="2"/>
  <c r="N199" i="2" s="1"/>
  <c r="K200" i="2"/>
  <c r="K201" i="2"/>
  <c r="K202" i="2"/>
  <c r="K203" i="2"/>
  <c r="K204" i="2"/>
  <c r="K205" i="2"/>
  <c r="K206" i="2"/>
  <c r="K207" i="2"/>
  <c r="N207" i="2" s="1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3" i="2"/>
  <c r="J4" i="2"/>
  <c r="J5" i="2"/>
  <c r="J6" i="2"/>
  <c r="J7" i="2"/>
  <c r="J8" i="2"/>
  <c r="J9" i="2"/>
  <c r="J10" i="2"/>
  <c r="J11" i="2"/>
  <c r="J12" i="2"/>
  <c r="J13" i="2"/>
  <c r="M13" i="2" s="1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M29" i="2" s="1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M45" i="2" s="1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M78" i="2" s="1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M94" i="2" s="1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M110" i="2" s="1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M126" i="2" s="1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M142" i="2" s="1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M158" i="2" s="1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M174" i="2" s="1"/>
  <c r="J174" i="2"/>
  <c r="J175" i="2"/>
  <c r="J176" i="2"/>
  <c r="J177" i="2"/>
  <c r="J178" i="2"/>
  <c r="J179" i="2"/>
  <c r="J180" i="2"/>
  <c r="J181" i="2"/>
  <c r="J182" i="2"/>
  <c r="J183" i="2"/>
  <c r="J184" i="2"/>
  <c r="J185" i="2"/>
  <c r="M185" i="2" s="1"/>
  <c r="J186" i="2"/>
  <c r="J187" i="2"/>
  <c r="M188" i="2" s="1"/>
  <c r="J188" i="2"/>
  <c r="J189" i="2"/>
  <c r="M190" i="2" s="1"/>
  <c r="J190" i="2"/>
  <c r="J191" i="2"/>
  <c r="M192" i="2" s="1"/>
  <c r="J192" i="2"/>
  <c r="J193" i="2"/>
  <c r="J194" i="2"/>
  <c r="J195" i="2"/>
  <c r="J196" i="2"/>
  <c r="J197" i="2"/>
  <c r="J198" i="2"/>
  <c r="J199" i="2"/>
  <c r="J200" i="2"/>
  <c r="J201" i="2"/>
  <c r="M201" i="2" s="1"/>
  <c r="J202" i="2"/>
  <c r="J203" i="2"/>
  <c r="J204" i="2"/>
  <c r="M204" i="2"/>
  <c r="J205" i="2"/>
  <c r="J206" i="2"/>
  <c r="J207" i="2"/>
  <c r="J208" i="2"/>
  <c r="M208" i="2" s="1"/>
  <c r="J209" i="2"/>
  <c r="J210" i="2"/>
  <c r="J211" i="2"/>
  <c r="J212" i="2"/>
  <c r="M212" i="2" s="1"/>
  <c r="J213" i="2"/>
  <c r="M214" i="2" s="1"/>
  <c r="J214" i="2"/>
  <c r="J215" i="2"/>
  <c r="M216" i="2" s="1"/>
  <c r="J216" i="2"/>
  <c r="J217" i="2"/>
  <c r="M217" i="2" s="1"/>
  <c r="J218" i="2"/>
  <c r="J219" i="2"/>
  <c r="J220" i="2"/>
  <c r="M220" i="2"/>
  <c r="J221" i="2"/>
  <c r="J222" i="2"/>
  <c r="M222" i="2" s="1"/>
  <c r="J223" i="2"/>
  <c r="J224" i="2"/>
  <c r="M225" i="2" s="1"/>
  <c r="J225" i="2"/>
  <c r="J226" i="2"/>
  <c r="M227" i="2" s="1"/>
  <c r="J227" i="2"/>
  <c r="J228" i="2"/>
  <c r="M228" i="2" s="1"/>
  <c r="J229" i="2"/>
  <c r="J230" i="2"/>
  <c r="J231" i="2"/>
  <c r="J232" i="2"/>
  <c r="M232" i="2"/>
  <c r="J233" i="2"/>
  <c r="J234" i="2"/>
  <c r="J235" i="2"/>
  <c r="J236" i="2"/>
  <c r="M236" i="2" s="1"/>
  <c r="J237" i="2"/>
  <c r="J238" i="2"/>
  <c r="M238" i="2"/>
  <c r="J239" i="2"/>
  <c r="J240" i="2"/>
  <c r="M240" i="2" s="1"/>
  <c r="J241" i="2"/>
  <c r="J242" i="2"/>
  <c r="J243" i="2"/>
  <c r="J244" i="2"/>
  <c r="M244" i="2"/>
  <c r="J245" i="2"/>
  <c r="J246" i="2"/>
  <c r="M246" i="2" s="1"/>
  <c r="J247" i="2"/>
  <c r="J248" i="2"/>
  <c r="M248" i="2"/>
  <c r="J249" i="2"/>
  <c r="M249" i="2"/>
  <c r="J250" i="2"/>
  <c r="M251" i="2"/>
  <c r="J3" i="2"/>
  <c r="M230" i="2"/>
  <c r="M233" i="2"/>
  <c r="M224" i="2"/>
  <c r="N23" i="2"/>
  <c r="M292" i="2"/>
  <c r="M259" i="2"/>
  <c r="M252" i="2"/>
  <c r="M278" i="2"/>
  <c r="M200" i="2"/>
  <c r="M196" i="2"/>
  <c r="M209" i="2"/>
  <c r="M193" i="2"/>
  <c r="M184" i="2"/>
  <c r="N300" i="2"/>
  <c r="M180" i="2"/>
  <c r="M37" i="2"/>
  <c r="M21" i="2"/>
  <c r="N292" i="2"/>
  <c r="N38" i="2"/>
  <c r="N133" i="2"/>
  <c r="M206" i="2"/>
  <c r="N191" i="2"/>
  <c r="N175" i="2"/>
  <c r="N159" i="2"/>
  <c r="N143" i="2"/>
  <c r="N127" i="2"/>
  <c r="N111" i="2"/>
  <c r="N95" i="2"/>
  <c r="N79" i="2"/>
  <c r="N63" i="2"/>
  <c r="N47" i="2"/>
  <c r="N31" i="2"/>
  <c r="N70" i="2"/>
  <c r="N101" i="2"/>
  <c r="M198" i="2"/>
  <c r="M182" i="2"/>
  <c r="M166" i="2"/>
  <c r="M150" i="2"/>
  <c r="M134" i="2"/>
  <c r="M118" i="2"/>
  <c r="M102" i="2"/>
  <c r="M86" i="2"/>
  <c r="M14" i="2"/>
  <c r="N251" i="2"/>
  <c r="N206" i="2"/>
  <c r="N134" i="2"/>
  <c r="N102" i="2"/>
  <c r="N85" i="2"/>
  <c r="N46" i="2"/>
  <c r="N68" i="2"/>
  <c r="N20" i="2"/>
  <c r="N174" i="2"/>
  <c r="N142" i="2"/>
  <c r="N62" i="2"/>
  <c r="N188" i="2"/>
  <c r="N164" i="2"/>
  <c r="N132" i="2"/>
  <c r="N116" i="2"/>
  <c r="N92" i="2"/>
  <c r="N69" i="2"/>
  <c r="N37" i="2"/>
  <c r="M22" i="2"/>
  <c r="N15" i="2"/>
  <c r="N21" i="2"/>
  <c r="N170" i="2"/>
  <c r="N146" i="2"/>
  <c r="N82" i="2"/>
  <c r="N148" i="2"/>
  <c r="N53" i="2"/>
  <c r="N194" i="2"/>
  <c r="N154" i="2"/>
  <c r="N138" i="2"/>
  <c r="N130" i="2"/>
  <c r="N122" i="2"/>
  <c r="N114" i="2"/>
  <c r="N106" i="2"/>
  <c r="N98" i="2"/>
  <c r="N90" i="2"/>
  <c r="N74" i="2"/>
  <c r="N66" i="2"/>
  <c r="N58" i="2"/>
  <c r="N50" i="2"/>
  <c r="N42" i="2"/>
  <c r="N34" i="2"/>
  <c r="N26" i="2"/>
  <c r="N18" i="2"/>
  <c r="N10" i="2"/>
  <c r="N298" i="2"/>
  <c r="N275" i="2"/>
  <c r="N270" i="2"/>
  <c r="N266" i="2"/>
  <c r="N262" i="2"/>
  <c r="N278" i="2"/>
  <c r="N150" i="2"/>
  <c r="N118" i="2"/>
  <c r="N86" i="2"/>
  <c r="N54" i="2"/>
  <c r="N277" i="2"/>
  <c r="N7" i="2"/>
  <c r="N196" i="2"/>
  <c r="M70" i="2"/>
  <c r="N88" i="2"/>
  <c r="N200" i="2"/>
  <c r="N184" i="2"/>
  <c r="N176" i="2"/>
  <c r="N152" i="2"/>
  <c r="N144" i="2"/>
  <c r="N136" i="2"/>
  <c r="N120" i="2"/>
  <c r="N112" i="2"/>
  <c r="N104" i="2"/>
  <c r="N56" i="2"/>
  <c r="N48" i="2"/>
  <c r="N40" i="2"/>
  <c r="N24" i="2"/>
  <c r="N16" i="2"/>
  <c r="N8" i="2"/>
  <c r="N168" i="2"/>
  <c r="N72" i="2"/>
  <c r="M62" i="2"/>
  <c r="N80" i="2"/>
  <c r="N290" i="2"/>
  <c r="N271" i="2"/>
  <c r="N263" i="2"/>
  <c r="N287" i="2"/>
  <c r="N279" i="2"/>
  <c r="N273" i="2"/>
  <c r="N260" i="2"/>
  <c r="N192" i="2"/>
  <c r="N128" i="2"/>
  <c r="N96" i="2"/>
  <c r="N64" i="2"/>
  <c r="N32" i="2"/>
  <c r="N22" i="2"/>
  <c r="N202" i="2"/>
  <c r="N186" i="2"/>
  <c r="N178" i="2"/>
  <c r="N162" i="2"/>
  <c r="M54" i="2"/>
  <c r="M46" i="2"/>
  <c r="M38" i="2"/>
  <c r="M81" i="2"/>
  <c r="M73" i="2"/>
  <c r="M65" i="2"/>
  <c r="M49" i="2"/>
  <c r="M41" i="2"/>
  <c r="M33" i="2"/>
  <c r="M25" i="2"/>
  <c r="M17" i="2"/>
  <c r="M9" i="2"/>
  <c r="N203" i="2"/>
  <c r="N195" i="2"/>
  <c r="N187" i="2"/>
  <c r="N179" i="2"/>
  <c r="N171" i="2"/>
  <c r="N163" i="2"/>
  <c r="N155" i="2"/>
  <c r="N147" i="2"/>
  <c r="N139" i="2"/>
  <c r="N131" i="2"/>
  <c r="N123" i="2"/>
  <c r="N115" i="2"/>
  <c r="N107" i="2"/>
  <c r="N99" i="2"/>
  <c r="N91" i="2"/>
  <c r="N83" i="2"/>
  <c r="N75" i="2"/>
  <c r="N67" i="2"/>
  <c r="N59" i="2"/>
  <c r="N51" i="2"/>
  <c r="N43" i="2"/>
  <c r="N35" i="2"/>
  <c r="N27" i="2"/>
  <c r="N19" i="2"/>
  <c r="N11" i="2"/>
  <c r="N254" i="2"/>
  <c r="N282" i="2"/>
  <c r="N249" i="2"/>
  <c r="N241" i="2"/>
  <c r="N233" i="2"/>
  <c r="N225" i="2"/>
  <c r="N217" i="2"/>
  <c r="N209" i="2"/>
  <c r="N256" i="2"/>
  <c r="N248" i="2"/>
  <c r="N240" i="2"/>
  <c r="N232" i="2"/>
  <c r="N224" i="2"/>
  <c r="N216" i="2"/>
  <c r="N297" i="2"/>
  <c r="N281" i="2"/>
  <c r="N294" i="2"/>
  <c r="N286" i="2"/>
  <c r="N246" i="2"/>
  <c r="N238" i="2"/>
  <c r="N230" i="2"/>
  <c r="N222" i="2"/>
  <c r="N214" i="2"/>
  <c r="N274" i="2"/>
  <c r="N261" i="2"/>
  <c r="N245" i="2"/>
  <c r="N237" i="2"/>
  <c r="N229" i="2"/>
  <c r="N221" i="2"/>
  <c r="N213" i="2"/>
  <c r="N205" i="2"/>
  <c r="N197" i="2"/>
  <c r="N189" i="2"/>
  <c r="N181" i="2"/>
  <c r="N173" i="2"/>
  <c r="N165" i="2"/>
  <c r="N157" i="2"/>
  <c r="N141" i="2"/>
  <c r="N125" i="2"/>
  <c r="N109" i="2"/>
  <c r="N93" i="2"/>
  <c r="N77" i="2"/>
  <c r="N61" i="2"/>
  <c r="N45" i="2"/>
  <c r="N29" i="2"/>
  <c r="N13" i="2"/>
  <c r="N296" i="2"/>
  <c r="N288" i="2"/>
  <c r="N280" i="2"/>
  <c r="N267" i="2"/>
  <c r="N204" i="2"/>
  <c r="N182" i="2"/>
  <c r="N172" i="2"/>
  <c r="N160" i="2"/>
  <c r="N140" i="2"/>
  <c r="N108" i="2"/>
  <c r="N76" i="2"/>
  <c r="N44" i="2"/>
  <c r="N12" i="2"/>
  <c r="N201" i="2"/>
  <c r="N193" i="2"/>
  <c r="N185" i="2"/>
  <c r="N177" i="2"/>
  <c r="N169" i="2"/>
  <c r="N161" i="2"/>
  <c r="N153" i="2"/>
  <c r="N145" i="2"/>
  <c r="N137" i="2"/>
  <c r="N129" i="2"/>
  <c r="N121" i="2"/>
  <c r="N113" i="2"/>
  <c r="N105" i="2"/>
  <c r="N97" i="2"/>
  <c r="N89" i="2"/>
  <c r="N81" i="2"/>
  <c r="N73" i="2"/>
  <c r="N65" i="2"/>
  <c r="N57" i="2"/>
  <c r="N49" i="2"/>
  <c r="N41" i="2"/>
  <c r="N33" i="2"/>
  <c r="N25" i="2"/>
  <c r="N17" i="2"/>
  <c r="N9" i="2"/>
  <c r="M30" i="2"/>
  <c r="M177" i="2"/>
  <c r="M169" i="2"/>
  <c r="M161" i="2"/>
  <c r="M153" i="2"/>
  <c r="M145" i="2"/>
  <c r="M137" i="2"/>
  <c r="M129" i="2"/>
  <c r="M121" i="2"/>
  <c r="M113" i="2"/>
  <c r="M105" i="2"/>
  <c r="M97" i="2"/>
  <c r="M89" i="2"/>
  <c r="M57" i="2"/>
  <c r="M17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8" i="2"/>
  <c r="M101" i="2"/>
  <c r="M93" i="2"/>
  <c r="M85" i="2"/>
  <c r="M77" i="2"/>
  <c r="M69" i="2"/>
  <c r="M61" i="2"/>
  <c r="M53" i="2"/>
  <c r="M172" i="2"/>
  <c r="M164" i="2"/>
  <c r="M156" i="2"/>
  <c r="M148" i="2"/>
  <c r="M140" i="2"/>
  <c r="M132" i="2"/>
  <c r="M124" i="2"/>
  <c r="M116" i="2"/>
  <c r="M108" i="2"/>
  <c r="M100" i="2"/>
  <c r="M92" i="2"/>
  <c r="M84" i="2"/>
  <c r="M76" i="2"/>
  <c r="M68" i="2"/>
  <c r="M60" i="2"/>
  <c r="M52" i="2"/>
  <c r="M44" i="2"/>
  <c r="M36" i="2"/>
  <c r="M28" i="2"/>
  <c r="M20" i="2"/>
  <c r="M12" i="2"/>
  <c r="N276" i="2"/>
  <c r="N253" i="2"/>
  <c r="N255" i="2"/>
  <c r="N264" i="2"/>
  <c r="N291" i="2"/>
  <c r="N244" i="2"/>
  <c r="N236" i="2"/>
  <c r="N228" i="2"/>
  <c r="N220" i="2"/>
  <c r="N212" i="2"/>
  <c r="N293" i="2"/>
  <c r="N285" i="2"/>
  <c r="M247" i="2"/>
  <c r="M239" i="2"/>
  <c r="M231" i="2"/>
  <c r="M215" i="2"/>
  <c r="M207" i="2"/>
  <c r="M199" i="2"/>
  <c r="M191" i="2"/>
  <c r="M183" i="2"/>
  <c r="M175" i="2"/>
  <c r="M167" i="2"/>
  <c r="M159" i="2"/>
  <c r="M151" i="2"/>
  <c r="M143" i="2"/>
  <c r="M135" i="2"/>
  <c r="M127" i="2"/>
  <c r="M119" i="2"/>
  <c r="M111" i="2"/>
  <c r="M103" i="2"/>
  <c r="M95" i="2"/>
  <c r="M87" i="2"/>
  <c r="M79" i="2"/>
  <c r="M71" i="2"/>
  <c r="M63" i="2"/>
  <c r="M55" i="2"/>
  <c r="M47" i="2"/>
  <c r="M39" i="2"/>
  <c r="M31" i="2"/>
  <c r="M23" i="2"/>
  <c r="M15" i="2"/>
  <c r="M7" i="2"/>
  <c r="N247" i="2"/>
  <c r="N239" i="2"/>
  <c r="N231" i="2"/>
  <c r="N223" i="2"/>
  <c r="N215" i="2"/>
  <c r="M277" i="2"/>
  <c r="M245" i="2"/>
  <c r="M237" i="2"/>
  <c r="M221" i="2"/>
  <c r="M205" i="2"/>
  <c r="M197" i="2"/>
  <c r="M189" i="2"/>
  <c r="M181" i="2"/>
  <c r="M173" i="2"/>
  <c r="M165" i="2"/>
  <c r="M157" i="2"/>
  <c r="M149" i="2"/>
  <c r="M141" i="2"/>
  <c r="M133" i="2"/>
  <c r="M125" i="2"/>
  <c r="M117" i="2"/>
  <c r="M109" i="2"/>
  <c r="M243" i="2"/>
  <c r="M235" i="2"/>
  <c r="M219" i="2"/>
  <c r="M211" i="2"/>
  <c r="M203" i="2"/>
  <c r="M195" i="2"/>
  <c r="M187" i="2"/>
  <c r="M17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N243" i="2"/>
  <c r="N235" i="2"/>
  <c r="N227" i="2"/>
  <c r="N219" i="2"/>
  <c r="N211" i="2"/>
  <c r="N259" i="2"/>
  <c r="M242" i="2"/>
  <c r="M234" i="2"/>
  <c r="M218" i="2"/>
  <c r="M210" i="2"/>
  <c r="M202" i="2"/>
  <c r="M194" i="2"/>
  <c r="M186" i="2"/>
  <c r="M178" i="2"/>
  <c r="M170" i="2"/>
  <c r="M162" i="2"/>
  <c r="M154" i="2"/>
  <c r="M146" i="2"/>
  <c r="M138" i="2"/>
  <c r="M130" i="2"/>
  <c r="M122" i="2"/>
  <c r="M114" i="2"/>
  <c r="M106" i="2"/>
  <c r="M98" i="2"/>
  <c r="M90" i="2"/>
  <c r="M82" i="2"/>
  <c r="M74" i="2"/>
  <c r="M66" i="2"/>
  <c r="M58" i="2"/>
  <c r="M50" i="2"/>
  <c r="M42" i="2"/>
  <c r="M34" i="2"/>
  <c r="M26" i="2"/>
  <c r="M18" i="2"/>
  <c r="M10" i="2"/>
  <c r="N242" i="2"/>
  <c r="N234" i="2"/>
  <c r="N226" i="2"/>
  <c r="N218" i="2"/>
  <c r="N210" i="2"/>
  <c r="M250" i="2"/>
  <c r="N208" i="2"/>
  <c r="N250" i="2"/>
  <c r="M4" i="2"/>
  <c r="N4" i="2"/>
  <c r="M226" i="2" l="1"/>
  <c r="M213" i="2"/>
  <c r="M229" i="2"/>
  <c r="M223" i="2"/>
  <c r="N257" i="2"/>
  <c r="N283" i="2"/>
  <c r="N268" i="2"/>
  <c r="M255" i="2"/>
  <c r="M241" i="2"/>
  <c r="M5" i="2"/>
  <c r="M6" i="2"/>
  <c r="N5" i="2"/>
  <c r="N6" i="2"/>
  <c r="M275" i="2"/>
  <c r="M271" i="2"/>
  <c r="M267" i="2"/>
  <c r="M263" i="2"/>
  <c r="M283" i="2"/>
  <c r="M284" i="2"/>
</calcChain>
</file>

<file path=xl/sharedStrings.xml><?xml version="1.0" encoding="utf-8"?>
<sst xmlns="http://schemas.openxmlformats.org/spreadsheetml/2006/main" count="590" uniqueCount="232">
  <si>
    <t>Presentation File</t>
  </si>
  <si>
    <t>EEGdiff</t>
  </si>
  <si>
    <t>PRESdiff</t>
  </si>
  <si>
    <t>Differences</t>
  </si>
  <si>
    <t>eeg time</t>
  </si>
  <si>
    <t>pres time</t>
  </si>
  <si>
    <t>Difference (to ADD to pres time)</t>
  </si>
  <si>
    <t>SubjID</t>
  </si>
  <si>
    <t>DataType</t>
  </si>
  <si>
    <t>SamplingRate</t>
  </si>
  <si>
    <t>EEG trigger file</t>
  </si>
  <si>
    <t>Run</t>
  </si>
  <si>
    <t>Sampling Rate</t>
  </si>
  <si>
    <t>Task</t>
  </si>
  <si>
    <t>Subject ID</t>
  </si>
  <si>
    <t>Netstation Version</t>
  </si>
  <si>
    <t>N/A</t>
  </si>
  <si>
    <t>A003c</t>
  </si>
  <si>
    <t>A008c</t>
  </si>
  <si>
    <t>S020c</t>
  </si>
  <si>
    <t>S024c</t>
  </si>
  <si>
    <t>S025c</t>
  </si>
  <si>
    <t>S026c</t>
  </si>
  <si>
    <t>S027c</t>
  </si>
  <si>
    <t>S029c</t>
  </si>
  <si>
    <t>S030c</t>
  </si>
  <si>
    <t>S033c</t>
  </si>
  <si>
    <t>S034c</t>
  </si>
  <si>
    <t>S039c</t>
  </si>
  <si>
    <t>S040c</t>
  </si>
  <si>
    <t>S042c</t>
  </si>
  <si>
    <t>S049c</t>
  </si>
  <si>
    <t>S054c</t>
  </si>
  <si>
    <t>S055c</t>
  </si>
  <si>
    <t>S057c</t>
  </si>
  <si>
    <t>S058c</t>
  </si>
  <si>
    <t>S059c</t>
  </si>
  <si>
    <t>S061c</t>
  </si>
  <si>
    <t>S062c</t>
  </si>
  <si>
    <t>S063c</t>
  </si>
  <si>
    <t>S065c</t>
  </si>
  <si>
    <t>S067c</t>
  </si>
  <si>
    <t>S069c</t>
  </si>
  <si>
    <t>S070c</t>
  </si>
  <si>
    <t>S072c</t>
  </si>
  <si>
    <t>S073c</t>
  </si>
  <si>
    <t>S074c</t>
  </si>
  <si>
    <t>S079c</t>
  </si>
  <si>
    <t>S080c</t>
  </si>
  <si>
    <t>S082c</t>
  </si>
  <si>
    <t>S083c</t>
  </si>
  <si>
    <t>S084c</t>
  </si>
  <si>
    <t>S086c</t>
  </si>
  <si>
    <t>S090c</t>
  </si>
  <si>
    <t>S091c</t>
  </si>
  <si>
    <t>S094c</t>
  </si>
  <si>
    <t>S095c</t>
  </si>
  <si>
    <t>S097c</t>
  </si>
  <si>
    <t>S100c</t>
  </si>
  <si>
    <t>S101c</t>
  </si>
  <si>
    <t>S104c</t>
  </si>
  <si>
    <t>S113c</t>
  </si>
  <si>
    <t>S107c</t>
  </si>
  <si>
    <t>A002a</t>
  </si>
  <si>
    <t>S039a</t>
  </si>
  <si>
    <t>S040a</t>
  </si>
  <si>
    <t>S042a</t>
  </si>
  <si>
    <t>S049a</t>
  </si>
  <si>
    <t>S054a</t>
  </si>
  <si>
    <t>S055a</t>
  </si>
  <si>
    <t>S057a</t>
  </si>
  <si>
    <t>S058a</t>
  </si>
  <si>
    <t>S059a</t>
  </si>
  <si>
    <t>S061a</t>
  </si>
  <si>
    <t>S062a</t>
  </si>
  <si>
    <t>S063a</t>
  </si>
  <si>
    <t>S065a</t>
  </si>
  <si>
    <t>S067a</t>
  </si>
  <si>
    <t>S069a</t>
  </si>
  <si>
    <t>S070a</t>
  </si>
  <si>
    <t>S072a</t>
  </si>
  <si>
    <t>S073a</t>
  </si>
  <si>
    <t>S074a</t>
  </si>
  <si>
    <t>S079a</t>
  </si>
  <si>
    <t>S080a</t>
  </si>
  <si>
    <t>S082a</t>
  </si>
  <si>
    <t>S083a</t>
  </si>
  <si>
    <t>S084a</t>
  </si>
  <si>
    <t>S086a</t>
  </si>
  <si>
    <t>S090a</t>
  </si>
  <si>
    <t>S091a</t>
  </si>
  <si>
    <t>S094a</t>
  </si>
  <si>
    <t>S095a</t>
  </si>
  <si>
    <t>S097a</t>
  </si>
  <si>
    <t>S100a</t>
  </si>
  <si>
    <t>S101a</t>
  </si>
  <si>
    <t>S104a</t>
  </si>
  <si>
    <t>S113a</t>
  </si>
  <si>
    <t>S107a</t>
  </si>
  <si>
    <t>Session</t>
  </si>
  <si>
    <t>Logfile</t>
  </si>
  <si>
    <t>SubjInfo</t>
  </si>
  <si>
    <t>S110a</t>
  </si>
  <si>
    <t>Software Offset</t>
  </si>
  <si>
    <t>S114a</t>
  </si>
  <si>
    <t>A003a</t>
  </si>
  <si>
    <t>A008a</t>
  </si>
  <si>
    <t>S020a</t>
  </si>
  <si>
    <t>S024a</t>
  </si>
  <si>
    <t>S025a</t>
  </si>
  <si>
    <t>S026a</t>
  </si>
  <si>
    <t>S027a</t>
  </si>
  <si>
    <t>S029a</t>
  </si>
  <si>
    <t>S030a</t>
  </si>
  <si>
    <t>S033a</t>
  </si>
  <si>
    <t>S034a</t>
  </si>
  <si>
    <t>S037a</t>
  </si>
  <si>
    <t>S037c</t>
  </si>
  <si>
    <t>H001a</t>
  </si>
  <si>
    <t>H002a</t>
  </si>
  <si>
    <t>H004a</t>
  </si>
  <si>
    <t>H006a</t>
  </si>
  <si>
    <t>H008a</t>
  </si>
  <si>
    <t>H009a</t>
  </si>
  <si>
    <t>H010a</t>
  </si>
  <si>
    <t>H011a</t>
  </si>
  <si>
    <t>H012a</t>
  </si>
  <si>
    <t>H013a</t>
  </si>
  <si>
    <t>H014a</t>
  </si>
  <si>
    <t>H015a</t>
  </si>
  <si>
    <t>H016a</t>
  </si>
  <si>
    <t>H017a</t>
  </si>
  <si>
    <t>H018a</t>
  </si>
  <si>
    <t>H019a</t>
  </si>
  <si>
    <t>H020a</t>
  </si>
  <si>
    <t>H021a</t>
  </si>
  <si>
    <t>H022a</t>
  </si>
  <si>
    <t>H023a</t>
  </si>
  <si>
    <t>H024a</t>
  </si>
  <si>
    <t>H025a</t>
  </si>
  <si>
    <t>H026a</t>
  </si>
  <si>
    <t>H027a</t>
  </si>
  <si>
    <t>H028a</t>
  </si>
  <si>
    <t>H029a</t>
  </si>
  <si>
    <t>H030a</t>
  </si>
  <si>
    <t>H031a</t>
  </si>
  <si>
    <t>H032a</t>
  </si>
  <si>
    <t>H033a</t>
  </si>
  <si>
    <t>H034a</t>
  </si>
  <si>
    <t>H041a</t>
  </si>
  <si>
    <t>H042a</t>
  </si>
  <si>
    <t>H043a</t>
  </si>
  <si>
    <t>H044a</t>
  </si>
  <si>
    <t>H045a</t>
  </si>
  <si>
    <t>H046a</t>
  </si>
  <si>
    <t>H047a</t>
  </si>
  <si>
    <t>H048a</t>
  </si>
  <si>
    <t>H049a</t>
  </si>
  <si>
    <t>H051a</t>
  </si>
  <si>
    <t>A002c</t>
  </si>
  <si>
    <t>A060a</t>
  </si>
  <si>
    <t>A060c</t>
  </si>
  <si>
    <t>BADE Hardward Offset</t>
  </si>
  <si>
    <t>WM Hardware Offset</t>
  </si>
  <si>
    <t>FISH Hardware Offset</t>
  </si>
  <si>
    <t>A068a</t>
  </si>
  <si>
    <t>A068c</t>
  </si>
  <si>
    <t>A076a</t>
  </si>
  <si>
    <t>A076c</t>
  </si>
  <si>
    <t>S117a</t>
  </si>
  <si>
    <t>S118a</t>
  </si>
  <si>
    <t>S031a</t>
  </si>
  <si>
    <t>Filename</t>
  </si>
  <si>
    <t>Samples</t>
  </si>
  <si>
    <t>Presentation</t>
  </si>
  <si>
    <t>EEG</t>
  </si>
  <si>
    <t>(samples)</t>
  </si>
  <si>
    <t>H003a</t>
  </si>
  <si>
    <t>H007a</t>
  </si>
  <si>
    <t>H035a</t>
  </si>
  <si>
    <t>SyncValues</t>
  </si>
  <si>
    <t>Notes</t>
  </si>
  <si>
    <t>NetstationVersion</t>
  </si>
  <si>
    <t>SoftwareOffset</t>
  </si>
  <si>
    <t>HardwareOffset</t>
  </si>
  <si>
    <t>Site</t>
  </si>
  <si>
    <t>CFRI</t>
  </si>
  <si>
    <t>UBC</t>
  </si>
  <si>
    <t>S119a</t>
  </si>
  <si>
    <t>A011a</t>
  </si>
  <si>
    <t>A028a</t>
  </si>
  <si>
    <t>A028c</t>
  </si>
  <si>
    <t>A010a</t>
  </si>
  <si>
    <t>A066a</t>
  </si>
  <si>
    <t>A066c</t>
  </si>
  <si>
    <t>H039a</t>
  </si>
  <si>
    <t>S121a</t>
  </si>
  <si>
    <t>H053a</t>
  </si>
  <si>
    <t>H054a</t>
  </si>
  <si>
    <t>H038a</t>
  </si>
  <si>
    <t>S121c</t>
  </si>
  <si>
    <t>S122a</t>
  </si>
  <si>
    <t>S125a</t>
  </si>
  <si>
    <t>S125c</t>
  </si>
  <si>
    <t>S128a</t>
  </si>
  <si>
    <t>S128c</t>
  </si>
  <si>
    <t>S129a</t>
  </si>
  <si>
    <t>S134a</t>
  </si>
  <si>
    <t>S135a</t>
  </si>
  <si>
    <t>S135c</t>
  </si>
  <si>
    <t>S136a</t>
  </si>
  <si>
    <t>S137a</t>
  </si>
  <si>
    <t>S137c</t>
  </si>
  <si>
    <t>S138a</t>
  </si>
  <si>
    <t>S138c</t>
  </si>
  <si>
    <t>S145a</t>
  </si>
  <si>
    <t>S145c</t>
  </si>
  <si>
    <t>S146a</t>
  </si>
  <si>
    <t>S147a</t>
  </si>
  <si>
    <t>S149a</t>
  </si>
  <si>
    <t>S150a</t>
  </si>
  <si>
    <t>S151a</t>
  </si>
  <si>
    <t>S153a</t>
  </si>
  <si>
    <t>S153c</t>
  </si>
  <si>
    <t>S155a</t>
  </si>
  <si>
    <t>S158a</t>
  </si>
  <si>
    <t>S158c</t>
  </si>
  <si>
    <t>S162a</t>
  </si>
  <si>
    <t>S166a</t>
  </si>
  <si>
    <t>S167a</t>
  </si>
  <si>
    <t>S168a</t>
  </si>
  <si>
    <t>S171a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</si>
</sst>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"/>
  <sheetViews>
    <sheetView zoomScaleNormal="100" workbookViewId="0"/>
  </sheetViews>
  <sheetFormatPr defaultRowHeight="15" x14ac:dyDescent="0.25"/>
  <cols>
    <col min="1" max="1" width="21.7109375" bestFit="1" customWidth="1"/>
    <col min="2" max="2" width="7.7109375" bestFit="1" customWidth="1"/>
    <col min="3" max="3" width="5.7109375" bestFit="1" customWidth="1"/>
    <col min="4" max="4" width="5.42578125" bestFit="1" customWidth="1"/>
    <col min="5" max="5" width="9.28515625" bestFit="1" customWidth="1"/>
    <col min="6" max="6" width="13.28515625" bestFit="1" customWidth="1"/>
    <col min="7" max="7" width="44.140625" bestFit="1" customWidth="1"/>
    <col min="8" max="8" width="43.42578125" bestFit="1" customWidth="1"/>
  </cols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00"/>
  <sheetViews>
    <sheetView workbookViewId="0">
      <selection sqref="A1:D1"/>
    </sheetView>
  </sheetViews>
  <sheetFormatPr defaultRowHeight="15" x14ac:dyDescent="0.25"/>
  <cols>
    <col min="1" max="1" width="8" bestFit="1" customWidth="1"/>
    <col min="2" max="2" width="5.28515625" bestFit="1" customWidth="1"/>
    <col min="3" max="3" width="7.42578125" bestFit="1" customWidth="1"/>
    <col min="4" max="4" width="8" bestFit="1" customWidth="1"/>
    <col min="6" max="6" width="9.42578125" bestFit="1" customWidth="1"/>
    <col min="7" max="7" width="9.7109375" bestFit="1" customWidth="1"/>
    <col min="8" max="8" width="16.7109375" bestFit="1" customWidth="1"/>
    <col min="9" max="9" width="13.7109375" bestFit="1" customWidth="1"/>
    <col min="10" max="10" width="7" bestFit="1" customWidth="1"/>
    <col min="11" max="11" width="12.42578125" bestFit="1" customWidth="1"/>
    <col min="12" max="12" width="2.85546875" customWidth="1"/>
    <col min="13" max="13" width="7.7109375" bestFit="1" customWidth="1"/>
    <col min="14" max="14" width="8.42578125" bestFit="1" customWidth="1"/>
    <col min="16" max="16" width="19.7109375" bestFit="1" customWidth="1"/>
    <col min="17" max="18" width="9.7109375" bestFit="1" customWidth="1"/>
    <col min="19" max="19" width="30.28515625" bestFit="1" customWidth="1"/>
    <col min="20" max="20" width="26.7109375" bestFit="1" customWidth="1"/>
    <col min="22" max="22" width="10.28515625" bestFit="1" customWidth="1"/>
    <col min="23" max="23" width="7" bestFit="1" customWidth="1"/>
    <col min="24" max="24" width="8" bestFit="1" customWidth="1"/>
    <col min="25" max="25" width="8.7109375" bestFit="1" customWidth="1"/>
  </cols>
  <sheetData>
    <row r="1" spans="1:19" ht="14.45" x14ac:dyDescent="0.3">
      <c r="A1" s="10" t="s">
        <v>10</v>
      </c>
      <c r="B1" s="10"/>
      <c r="C1" s="10"/>
      <c r="D1" s="10"/>
      <c r="E1" s="10" t="s">
        <v>0</v>
      </c>
      <c r="F1" s="10"/>
      <c r="G1" s="10"/>
      <c r="H1" s="10"/>
      <c r="I1" s="9" t="s">
        <v>12</v>
      </c>
      <c r="J1" s="10" t="s">
        <v>173</v>
      </c>
      <c r="K1" s="10"/>
      <c r="M1" s="10" t="s">
        <v>3</v>
      </c>
      <c r="N1" s="10"/>
      <c r="Q1" t="s">
        <v>176</v>
      </c>
      <c r="R1" t="s">
        <v>176</v>
      </c>
    </row>
    <row r="2" spans="1:19" x14ac:dyDescent="0.25">
      <c r="I2">
        <v>1000</v>
      </c>
      <c r="J2" t="s">
        <v>175</v>
      </c>
      <c r="K2" t="s">
        <v>174</v>
      </c>
      <c r="M2" t="s">
        <v>1</v>
      </c>
      <c r="N2" t="s">
        <v>2</v>
      </c>
      <c r="P2" t="s">
        <v>101</v>
      </c>
      <c r="Q2" t="s">
        <v>4</v>
      </c>
      <c r="R2" t="s">
        <v>5</v>
      </c>
      <c r="S2" t="s">
        <v>6</v>
      </c>
    </row>
    <row r="3" spans="1:19" x14ac:dyDescent="0.25">
      <c r="I3" s="9"/>
      <c r="J3">
        <f t="shared" ref="J3:J66" si="0">C3</f>
        <v>0</v>
      </c>
      <c r="K3">
        <f>ROUNDDOWN(F3*$I$2*1/1000,0)</f>
        <v>0</v>
      </c>
      <c r="S3" t="str">
        <f>IF(AND(Q3&lt;&gt;"",R3&lt;&gt;""),Q3-R3,"")</f>
        <v/>
      </c>
    </row>
    <row r="4" spans="1:19" x14ac:dyDescent="0.25">
      <c r="J4">
        <f t="shared" si="0"/>
        <v>0</v>
      </c>
      <c r="K4">
        <f t="shared" ref="K4:K67" si="1">ROUNDDOWN(F4*$I$2*1/1000,0)</f>
        <v>0</v>
      </c>
      <c r="M4">
        <f>J4-J3</f>
        <v>0</v>
      </c>
      <c r="N4">
        <f>K4-K3</f>
        <v>0</v>
      </c>
      <c r="S4" t="str">
        <f t="shared" ref="S4:S67" si="2">IF(AND(Q4&lt;&gt;"",R4&lt;&gt;""),Q4-R4,"")</f>
        <v/>
      </c>
    </row>
    <row r="5" spans="1:19" x14ac:dyDescent="0.25">
      <c r="J5">
        <f t="shared" si="0"/>
        <v>0</v>
      </c>
      <c r="K5">
        <f t="shared" si="1"/>
        <v>0</v>
      </c>
      <c r="M5">
        <f t="shared" ref="M5:M68" si="3">J5-J4</f>
        <v>0</v>
      </c>
      <c r="N5">
        <f t="shared" ref="N5:N68" si="4">K5-K4</f>
        <v>0</v>
      </c>
      <c r="S5" t="str">
        <f t="shared" si="2"/>
        <v/>
      </c>
    </row>
    <row r="6" spans="1:19" x14ac:dyDescent="0.25">
      <c r="J6">
        <f t="shared" si="0"/>
        <v>0</v>
      </c>
      <c r="K6">
        <f t="shared" si="1"/>
        <v>0</v>
      </c>
      <c r="M6">
        <f t="shared" si="3"/>
        <v>0</v>
      </c>
      <c r="N6">
        <f t="shared" si="4"/>
        <v>0</v>
      </c>
      <c r="S6" t="str">
        <f t="shared" si="2"/>
        <v/>
      </c>
    </row>
    <row r="7" spans="1:19" x14ac:dyDescent="0.25">
      <c r="J7">
        <f t="shared" si="0"/>
        <v>0</v>
      </c>
      <c r="K7">
        <f t="shared" si="1"/>
        <v>0</v>
      </c>
      <c r="M7">
        <f t="shared" si="3"/>
        <v>0</v>
      </c>
      <c r="N7">
        <f t="shared" si="4"/>
        <v>0</v>
      </c>
      <c r="S7" t="str">
        <f t="shared" si="2"/>
        <v/>
      </c>
    </row>
    <row r="8" spans="1:19" x14ac:dyDescent="0.25">
      <c r="J8">
        <f t="shared" si="0"/>
        <v>0</v>
      </c>
      <c r="K8">
        <f t="shared" si="1"/>
        <v>0</v>
      </c>
      <c r="M8">
        <f t="shared" si="3"/>
        <v>0</v>
      </c>
      <c r="N8">
        <f t="shared" si="4"/>
        <v>0</v>
      </c>
      <c r="S8" t="str">
        <f t="shared" si="2"/>
        <v/>
      </c>
    </row>
    <row r="9" spans="1:19" x14ac:dyDescent="0.25">
      <c r="J9">
        <f t="shared" si="0"/>
        <v>0</v>
      </c>
      <c r="K9">
        <f t="shared" si="1"/>
        <v>0</v>
      </c>
      <c r="M9">
        <f t="shared" si="3"/>
        <v>0</v>
      </c>
      <c r="N9">
        <f t="shared" si="4"/>
        <v>0</v>
      </c>
      <c r="S9" t="str">
        <f t="shared" si="2"/>
        <v/>
      </c>
    </row>
    <row r="10" spans="1:19" x14ac:dyDescent="0.25">
      <c r="J10">
        <f t="shared" si="0"/>
        <v>0</v>
      </c>
      <c r="K10">
        <f t="shared" si="1"/>
        <v>0</v>
      </c>
      <c r="M10">
        <f t="shared" si="3"/>
        <v>0</v>
      </c>
      <c r="N10">
        <f t="shared" si="4"/>
        <v>0</v>
      </c>
      <c r="S10" t="str">
        <f t="shared" si="2"/>
        <v/>
      </c>
    </row>
    <row r="11" spans="1:19" x14ac:dyDescent="0.25">
      <c r="J11">
        <f t="shared" si="0"/>
        <v>0</v>
      </c>
      <c r="K11">
        <f t="shared" si="1"/>
        <v>0</v>
      </c>
      <c r="M11">
        <f t="shared" si="3"/>
        <v>0</v>
      </c>
      <c r="N11">
        <f t="shared" si="4"/>
        <v>0</v>
      </c>
      <c r="S11" t="str">
        <f t="shared" si="2"/>
        <v/>
      </c>
    </row>
    <row r="12" spans="1:19" x14ac:dyDescent="0.25">
      <c r="J12">
        <f t="shared" si="0"/>
        <v>0</v>
      </c>
      <c r="K12">
        <f t="shared" si="1"/>
        <v>0</v>
      </c>
      <c r="M12">
        <f t="shared" si="3"/>
        <v>0</v>
      </c>
      <c r="N12">
        <f t="shared" si="4"/>
        <v>0</v>
      </c>
      <c r="S12" t="str">
        <f t="shared" si="2"/>
        <v/>
      </c>
    </row>
    <row r="13" spans="1:19" x14ac:dyDescent="0.25">
      <c r="J13">
        <f t="shared" si="0"/>
        <v>0</v>
      </c>
      <c r="K13">
        <f t="shared" si="1"/>
        <v>0</v>
      </c>
      <c r="M13">
        <f t="shared" si="3"/>
        <v>0</v>
      </c>
      <c r="N13">
        <f t="shared" si="4"/>
        <v>0</v>
      </c>
      <c r="S13" t="str">
        <f t="shared" si="2"/>
        <v/>
      </c>
    </row>
    <row r="14" spans="1:19" x14ac:dyDescent="0.25">
      <c r="J14">
        <f t="shared" si="0"/>
        <v>0</v>
      </c>
      <c r="K14">
        <f t="shared" si="1"/>
        <v>0</v>
      </c>
      <c r="M14">
        <f t="shared" si="3"/>
        <v>0</v>
      </c>
      <c r="N14">
        <f t="shared" si="4"/>
        <v>0</v>
      </c>
      <c r="S14" t="str">
        <f t="shared" si="2"/>
        <v/>
      </c>
    </row>
    <row r="15" spans="1:19" x14ac:dyDescent="0.25">
      <c r="J15">
        <f t="shared" si="0"/>
        <v>0</v>
      </c>
      <c r="K15">
        <f t="shared" si="1"/>
        <v>0</v>
      </c>
      <c r="M15">
        <f t="shared" si="3"/>
        <v>0</v>
      </c>
      <c r="N15">
        <f t="shared" si="4"/>
        <v>0</v>
      </c>
      <c r="S15" t="str">
        <f t="shared" si="2"/>
        <v/>
      </c>
    </row>
    <row r="16" spans="1:19" x14ac:dyDescent="0.25">
      <c r="J16">
        <f t="shared" si="0"/>
        <v>0</v>
      </c>
      <c r="K16">
        <f t="shared" si="1"/>
        <v>0</v>
      </c>
      <c r="M16">
        <f t="shared" si="3"/>
        <v>0</v>
      </c>
      <c r="N16">
        <f t="shared" si="4"/>
        <v>0</v>
      </c>
      <c r="S16" t="str">
        <f t="shared" si="2"/>
        <v/>
      </c>
    </row>
    <row r="17" spans="10:19" x14ac:dyDescent="0.25">
      <c r="J17">
        <f t="shared" si="0"/>
        <v>0</v>
      </c>
      <c r="K17">
        <f t="shared" si="1"/>
        <v>0</v>
      </c>
      <c r="M17">
        <f t="shared" si="3"/>
        <v>0</v>
      </c>
      <c r="N17">
        <f t="shared" si="4"/>
        <v>0</v>
      </c>
      <c r="S17" t="str">
        <f t="shared" si="2"/>
        <v/>
      </c>
    </row>
    <row r="18" spans="10:19" x14ac:dyDescent="0.25">
      <c r="J18">
        <f t="shared" si="0"/>
        <v>0</v>
      </c>
      <c r="K18">
        <f t="shared" si="1"/>
        <v>0</v>
      </c>
      <c r="M18">
        <f t="shared" si="3"/>
        <v>0</v>
      </c>
      <c r="N18">
        <f t="shared" si="4"/>
        <v>0</v>
      </c>
      <c r="S18" t="str">
        <f t="shared" si="2"/>
        <v/>
      </c>
    </row>
    <row r="19" spans="10:19" x14ac:dyDescent="0.25">
      <c r="J19">
        <f t="shared" si="0"/>
        <v>0</v>
      </c>
      <c r="K19">
        <f t="shared" si="1"/>
        <v>0</v>
      </c>
      <c r="M19">
        <f t="shared" si="3"/>
        <v>0</v>
      </c>
      <c r="N19">
        <f t="shared" si="4"/>
        <v>0</v>
      </c>
      <c r="S19" t="str">
        <f t="shared" si="2"/>
        <v/>
      </c>
    </row>
    <row r="20" spans="10:19" x14ac:dyDescent="0.25">
      <c r="J20">
        <f t="shared" si="0"/>
        <v>0</v>
      </c>
      <c r="K20">
        <f t="shared" si="1"/>
        <v>0</v>
      </c>
      <c r="M20">
        <f t="shared" si="3"/>
        <v>0</v>
      </c>
      <c r="N20">
        <f t="shared" si="4"/>
        <v>0</v>
      </c>
      <c r="S20" t="str">
        <f t="shared" si="2"/>
        <v/>
      </c>
    </row>
    <row r="21" spans="10:19" x14ac:dyDescent="0.25">
      <c r="J21">
        <f t="shared" si="0"/>
        <v>0</v>
      </c>
      <c r="K21">
        <f t="shared" si="1"/>
        <v>0</v>
      </c>
      <c r="M21">
        <f t="shared" si="3"/>
        <v>0</v>
      </c>
      <c r="N21">
        <f t="shared" si="4"/>
        <v>0</v>
      </c>
      <c r="S21" t="str">
        <f t="shared" si="2"/>
        <v/>
      </c>
    </row>
    <row r="22" spans="10:19" x14ac:dyDescent="0.25">
      <c r="J22">
        <f t="shared" si="0"/>
        <v>0</v>
      </c>
      <c r="K22">
        <f t="shared" si="1"/>
        <v>0</v>
      </c>
      <c r="M22">
        <f t="shared" si="3"/>
        <v>0</v>
      </c>
      <c r="N22">
        <f t="shared" si="4"/>
        <v>0</v>
      </c>
      <c r="S22" t="str">
        <f t="shared" si="2"/>
        <v/>
      </c>
    </row>
    <row r="23" spans="10:19" x14ac:dyDescent="0.25">
      <c r="J23">
        <f t="shared" si="0"/>
        <v>0</v>
      </c>
      <c r="K23">
        <f t="shared" si="1"/>
        <v>0</v>
      </c>
      <c r="M23">
        <f t="shared" si="3"/>
        <v>0</v>
      </c>
      <c r="N23">
        <f t="shared" si="4"/>
        <v>0</v>
      </c>
      <c r="S23" t="str">
        <f t="shared" si="2"/>
        <v/>
      </c>
    </row>
    <row r="24" spans="10:19" x14ac:dyDescent="0.25">
      <c r="J24">
        <f t="shared" si="0"/>
        <v>0</v>
      </c>
      <c r="K24">
        <f t="shared" si="1"/>
        <v>0</v>
      </c>
      <c r="M24">
        <f t="shared" si="3"/>
        <v>0</v>
      </c>
      <c r="N24">
        <f t="shared" si="4"/>
        <v>0</v>
      </c>
      <c r="S24" t="str">
        <f t="shared" si="2"/>
        <v/>
      </c>
    </row>
    <row r="25" spans="10:19" x14ac:dyDescent="0.25">
      <c r="J25">
        <f t="shared" si="0"/>
        <v>0</v>
      </c>
      <c r="K25">
        <f t="shared" si="1"/>
        <v>0</v>
      </c>
      <c r="M25">
        <f t="shared" si="3"/>
        <v>0</v>
      </c>
      <c r="N25">
        <f t="shared" si="4"/>
        <v>0</v>
      </c>
      <c r="S25" t="str">
        <f t="shared" si="2"/>
        <v/>
      </c>
    </row>
    <row r="26" spans="10:19" x14ac:dyDescent="0.25">
      <c r="J26">
        <f t="shared" si="0"/>
        <v>0</v>
      </c>
      <c r="K26">
        <f t="shared" si="1"/>
        <v>0</v>
      </c>
      <c r="M26">
        <f t="shared" si="3"/>
        <v>0</v>
      </c>
      <c r="N26">
        <f t="shared" si="4"/>
        <v>0</v>
      </c>
      <c r="S26" t="str">
        <f t="shared" si="2"/>
        <v/>
      </c>
    </row>
    <row r="27" spans="10:19" x14ac:dyDescent="0.25">
      <c r="J27">
        <f t="shared" si="0"/>
        <v>0</v>
      </c>
      <c r="K27">
        <f t="shared" si="1"/>
        <v>0</v>
      </c>
      <c r="M27">
        <f t="shared" si="3"/>
        <v>0</v>
      </c>
      <c r="N27">
        <f t="shared" si="4"/>
        <v>0</v>
      </c>
      <c r="S27" t="str">
        <f t="shared" si="2"/>
        <v/>
      </c>
    </row>
    <row r="28" spans="10:19" x14ac:dyDescent="0.25">
      <c r="J28">
        <f t="shared" si="0"/>
        <v>0</v>
      </c>
      <c r="K28">
        <f t="shared" si="1"/>
        <v>0</v>
      </c>
      <c r="M28">
        <f t="shared" si="3"/>
        <v>0</v>
      </c>
      <c r="N28">
        <f t="shared" si="4"/>
        <v>0</v>
      </c>
      <c r="S28" t="str">
        <f t="shared" si="2"/>
        <v/>
      </c>
    </row>
    <row r="29" spans="10:19" x14ac:dyDescent="0.25">
      <c r="J29">
        <f t="shared" si="0"/>
        <v>0</v>
      </c>
      <c r="K29">
        <f t="shared" si="1"/>
        <v>0</v>
      </c>
      <c r="M29">
        <f t="shared" si="3"/>
        <v>0</v>
      </c>
      <c r="N29">
        <f t="shared" si="4"/>
        <v>0</v>
      </c>
      <c r="S29" t="str">
        <f t="shared" si="2"/>
        <v/>
      </c>
    </row>
    <row r="30" spans="10:19" x14ac:dyDescent="0.25">
      <c r="J30">
        <f t="shared" si="0"/>
        <v>0</v>
      </c>
      <c r="K30">
        <f t="shared" si="1"/>
        <v>0</v>
      </c>
      <c r="M30">
        <f t="shared" si="3"/>
        <v>0</v>
      </c>
      <c r="N30">
        <f t="shared" si="4"/>
        <v>0</v>
      </c>
      <c r="S30" t="str">
        <f t="shared" si="2"/>
        <v/>
      </c>
    </row>
    <row r="31" spans="10:19" x14ac:dyDescent="0.25">
      <c r="J31">
        <f t="shared" si="0"/>
        <v>0</v>
      </c>
      <c r="K31">
        <f t="shared" si="1"/>
        <v>0</v>
      </c>
      <c r="M31">
        <f t="shared" si="3"/>
        <v>0</v>
      </c>
      <c r="N31">
        <f t="shared" si="4"/>
        <v>0</v>
      </c>
      <c r="S31" t="str">
        <f t="shared" si="2"/>
        <v/>
      </c>
    </row>
    <row r="32" spans="10:19" x14ac:dyDescent="0.25">
      <c r="J32">
        <f t="shared" si="0"/>
        <v>0</v>
      </c>
      <c r="K32">
        <f t="shared" si="1"/>
        <v>0</v>
      </c>
      <c r="M32">
        <f t="shared" si="3"/>
        <v>0</v>
      </c>
      <c r="N32">
        <f t="shared" si="4"/>
        <v>0</v>
      </c>
      <c r="S32" t="str">
        <f t="shared" si="2"/>
        <v/>
      </c>
    </row>
    <row r="33" spans="10:19" x14ac:dyDescent="0.25">
      <c r="J33">
        <f t="shared" si="0"/>
        <v>0</v>
      </c>
      <c r="K33">
        <f t="shared" si="1"/>
        <v>0</v>
      </c>
      <c r="M33">
        <f t="shared" si="3"/>
        <v>0</v>
      </c>
      <c r="N33">
        <f t="shared" si="4"/>
        <v>0</v>
      </c>
      <c r="S33" t="str">
        <f t="shared" si="2"/>
        <v/>
      </c>
    </row>
    <row r="34" spans="10:19" x14ac:dyDescent="0.25">
      <c r="J34">
        <f t="shared" si="0"/>
        <v>0</v>
      </c>
      <c r="K34">
        <f t="shared" si="1"/>
        <v>0</v>
      </c>
      <c r="M34">
        <f t="shared" si="3"/>
        <v>0</v>
      </c>
      <c r="N34">
        <f t="shared" si="4"/>
        <v>0</v>
      </c>
      <c r="S34" t="str">
        <f t="shared" si="2"/>
        <v/>
      </c>
    </row>
    <row r="35" spans="10:19" x14ac:dyDescent="0.25">
      <c r="J35">
        <f t="shared" si="0"/>
        <v>0</v>
      </c>
      <c r="K35">
        <f t="shared" si="1"/>
        <v>0</v>
      </c>
      <c r="M35">
        <f t="shared" si="3"/>
        <v>0</v>
      </c>
      <c r="N35">
        <f t="shared" si="4"/>
        <v>0</v>
      </c>
      <c r="S35" t="str">
        <f t="shared" si="2"/>
        <v/>
      </c>
    </row>
    <row r="36" spans="10:19" x14ac:dyDescent="0.25">
      <c r="J36">
        <f t="shared" si="0"/>
        <v>0</v>
      </c>
      <c r="K36">
        <f t="shared" si="1"/>
        <v>0</v>
      </c>
      <c r="M36">
        <f t="shared" si="3"/>
        <v>0</v>
      </c>
      <c r="N36">
        <f t="shared" si="4"/>
        <v>0</v>
      </c>
      <c r="S36" t="str">
        <f t="shared" si="2"/>
        <v/>
      </c>
    </row>
    <row r="37" spans="10:19" x14ac:dyDescent="0.25">
      <c r="J37">
        <f t="shared" si="0"/>
        <v>0</v>
      </c>
      <c r="K37">
        <f t="shared" si="1"/>
        <v>0</v>
      </c>
      <c r="M37">
        <f t="shared" si="3"/>
        <v>0</v>
      </c>
      <c r="N37">
        <f t="shared" si="4"/>
        <v>0</v>
      </c>
      <c r="S37" t="str">
        <f t="shared" si="2"/>
        <v/>
      </c>
    </row>
    <row r="38" spans="10:19" x14ac:dyDescent="0.25">
      <c r="J38">
        <f t="shared" si="0"/>
        <v>0</v>
      </c>
      <c r="K38">
        <f t="shared" si="1"/>
        <v>0</v>
      </c>
      <c r="M38">
        <f t="shared" si="3"/>
        <v>0</v>
      </c>
      <c r="N38">
        <f t="shared" si="4"/>
        <v>0</v>
      </c>
      <c r="S38" t="str">
        <f t="shared" si="2"/>
        <v/>
      </c>
    </row>
    <row r="39" spans="10:19" x14ac:dyDescent="0.25">
      <c r="J39">
        <f t="shared" si="0"/>
        <v>0</v>
      </c>
      <c r="K39">
        <f t="shared" si="1"/>
        <v>0</v>
      </c>
      <c r="M39">
        <f t="shared" si="3"/>
        <v>0</v>
      </c>
      <c r="N39">
        <f t="shared" si="4"/>
        <v>0</v>
      </c>
      <c r="S39" t="str">
        <f t="shared" si="2"/>
        <v/>
      </c>
    </row>
    <row r="40" spans="10:19" x14ac:dyDescent="0.25">
      <c r="J40">
        <f t="shared" si="0"/>
        <v>0</v>
      </c>
      <c r="K40">
        <f t="shared" si="1"/>
        <v>0</v>
      </c>
      <c r="M40">
        <f t="shared" si="3"/>
        <v>0</v>
      </c>
      <c r="N40">
        <f t="shared" si="4"/>
        <v>0</v>
      </c>
      <c r="S40" t="str">
        <f t="shared" si="2"/>
        <v/>
      </c>
    </row>
    <row r="41" spans="10:19" x14ac:dyDescent="0.25">
      <c r="J41">
        <f t="shared" si="0"/>
        <v>0</v>
      </c>
      <c r="K41">
        <f t="shared" si="1"/>
        <v>0</v>
      </c>
      <c r="M41">
        <f t="shared" si="3"/>
        <v>0</v>
      </c>
      <c r="N41">
        <f t="shared" si="4"/>
        <v>0</v>
      </c>
      <c r="S41" t="str">
        <f t="shared" si="2"/>
        <v/>
      </c>
    </row>
    <row r="42" spans="10:19" x14ac:dyDescent="0.25">
      <c r="J42">
        <f t="shared" si="0"/>
        <v>0</v>
      </c>
      <c r="K42">
        <f t="shared" si="1"/>
        <v>0</v>
      </c>
      <c r="M42">
        <f t="shared" si="3"/>
        <v>0</v>
      </c>
      <c r="N42">
        <f t="shared" si="4"/>
        <v>0</v>
      </c>
      <c r="S42" t="str">
        <f t="shared" si="2"/>
        <v/>
      </c>
    </row>
    <row r="43" spans="10:19" x14ac:dyDescent="0.25">
      <c r="J43">
        <f t="shared" si="0"/>
        <v>0</v>
      </c>
      <c r="K43">
        <f t="shared" si="1"/>
        <v>0</v>
      </c>
      <c r="M43">
        <f t="shared" si="3"/>
        <v>0</v>
      </c>
      <c r="N43">
        <f t="shared" si="4"/>
        <v>0</v>
      </c>
      <c r="S43" t="str">
        <f t="shared" si="2"/>
        <v/>
      </c>
    </row>
    <row r="44" spans="10:19" x14ac:dyDescent="0.25">
      <c r="J44">
        <f t="shared" si="0"/>
        <v>0</v>
      </c>
      <c r="K44">
        <f t="shared" si="1"/>
        <v>0</v>
      </c>
      <c r="M44">
        <f t="shared" si="3"/>
        <v>0</v>
      </c>
      <c r="N44">
        <f t="shared" si="4"/>
        <v>0</v>
      </c>
      <c r="S44" t="str">
        <f t="shared" si="2"/>
        <v/>
      </c>
    </row>
    <row r="45" spans="10:19" x14ac:dyDescent="0.25">
      <c r="J45">
        <f t="shared" si="0"/>
        <v>0</v>
      </c>
      <c r="K45">
        <f t="shared" si="1"/>
        <v>0</v>
      </c>
      <c r="M45">
        <f t="shared" si="3"/>
        <v>0</v>
      </c>
      <c r="N45">
        <f t="shared" si="4"/>
        <v>0</v>
      </c>
      <c r="S45" t="str">
        <f t="shared" si="2"/>
        <v/>
      </c>
    </row>
    <row r="46" spans="10:19" x14ac:dyDescent="0.25">
      <c r="J46">
        <f t="shared" si="0"/>
        <v>0</v>
      </c>
      <c r="K46">
        <f t="shared" si="1"/>
        <v>0</v>
      </c>
      <c r="M46">
        <f t="shared" si="3"/>
        <v>0</v>
      </c>
      <c r="N46">
        <f t="shared" si="4"/>
        <v>0</v>
      </c>
      <c r="S46" t="str">
        <f t="shared" si="2"/>
        <v/>
      </c>
    </row>
    <row r="47" spans="10:19" x14ac:dyDescent="0.25">
      <c r="J47">
        <f t="shared" si="0"/>
        <v>0</v>
      </c>
      <c r="K47">
        <f t="shared" si="1"/>
        <v>0</v>
      </c>
      <c r="M47">
        <f t="shared" si="3"/>
        <v>0</v>
      </c>
      <c r="N47">
        <f t="shared" si="4"/>
        <v>0</v>
      </c>
      <c r="S47" t="str">
        <f t="shared" si="2"/>
        <v/>
      </c>
    </row>
    <row r="48" spans="10:19" x14ac:dyDescent="0.25">
      <c r="J48">
        <f t="shared" si="0"/>
        <v>0</v>
      </c>
      <c r="K48">
        <f t="shared" si="1"/>
        <v>0</v>
      </c>
      <c r="M48">
        <f t="shared" si="3"/>
        <v>0</v>
      </c>
      <c r="N48">
        <f t="shared" si="4"/>
        <v>0</v>
      </c>
      <c r="S48" t="str">
        <f t="shared" si="2"/>
        <v/>
      </c>
    </row>
    <row r="49" spans="10:19" x14ac:dyDescent="0.25">
      <c r="J49">
        <f t="shared" si="0"/>
        <v>0</v>
      </c>
      <c r="K49">
        <f t="shared" si="1"/>
        <v>0</v>
      </c>
      <c r="M49">
        <f t="shared" si="3"/>
        <v>0</v>
      </c>
      <c r="N49">
        <f t="shared" si="4"/>
        <v>0</v>
      </c>
      <c r="S49" t="str">
        <f t="shared" si="2"/>
        <v/>
      </c>
    </row>
    <row r="50" spans="10:19" x14ac:dyDescent="0.25">
      <c r="J50">
        <f t="shared" si="0"/>
        <v>0</v>
      </c>
      <c r="K50">
        <f t="shared" si="1"/>
        <v>0</v>
      </c>
      <c r="M50">
        <f t="shared" si="3"/>
        <v>0</v>
      </c>
      <c r="N50">
        <f t="shared" si="4"/>
        <v>0</v>
      </c>
      <c r="S50" t="str">
        <f t="shared" si="2"/>
        <v/>
      </c>
    </row>
    <row r="51" spans="10:19" x14ac:dyDescent="0.25">
      <c r="J51">
        <f t="shared" si="0"/>
        <v>0</v>
      </c>
      <c r="K51">
        <f t="shared" si="1"/>
        <v>0</v>
      </c>
      <c r="M51">
        <f t="shared" si="3"/>
        <v>0</v>
      </c>
      <c r="N51">
        <f t="shared" si="4"/>
        <v>0</v>
      </c>
      <c r="S51" t="str">
        <f t="shared" si="2"/>
        <v/>
      </c>
    </row>
    <row r="52" spans="10:19" x14ac:dyDescent="0.25">
      <c r="J52">
        <f t="shared" si="0"/>
        <v>0</v>
      </c>
      <c r="K52">
        <f t="shared" si="1"/>
        <v>0</v>
      </c>
      <c r="M52">
        <f t="shared" si="3"/>
        <v>0</v>
      </c>
      <c r="N52">
        <f t="shared" si="4"/>
        <v>0</v>
      </c>
      <c r="S52" t="str">
        <f t="shared" si="2"/>
        <v/>
      </c>
    </row>
    <row r="53" spans="10:19" x14ac:dyDescent="0.25">
      <c r="J53">
        <f t="shared" si="0"/>
        <v>0</v>
      </c>
      <c r="K53">
        <f t="shared" si="1"/>
        <v>0</v>
      </c>
      <c r="M53">
        <f t="shared" si="3"/>
        <v>0</v>
      </c>
      <c r="N53">
        <f t="shared" si="4"/>
        <v>0</v>
      </c>
      <c r="S53" t="str">
        <f t="shared" si="2"/>
        <v/>
      </c>
    </row>
    <row r="54" spans="10:19" x14ac:dyDescent="0.25">
      <c r="J54">
        <f t="shared" si="0"/>
        <v>0</v>
      </c>
      <c r="K54">
        <f t="shared" si="1"/>
        <v>0</v>
      </c>
      <c r="M54">
        <f t="shared" si="3"/>
        <v>0</v>
      </c>
      <c r="N54">
        <f t="shared" si="4"/>
        <v>0</v>
      </c>
      <c r="S54" t="str">
        <f t="shared" si="2"/>
        <v/>
      </c>
    </row>
    <row r="55" spans="10:19" x14ac:dyDescent="0.25">
      <c r="J55">
        <f t="shared" si="0"/>
        <v>0</v>
      </c>
      <c r="K55">
        <f t="shared" si="1"/>
        <v>0</v>
      </c>
      <c r="M55">
        <f t="shared" si="3"/>
        <v>0</v>
      </c>
      <c r="N55">
        <f t="shared" si="4"/>
        <v>0</v>
      </c>
      <c r="S55" t="str">
        <f t="shared" si="2"/>
        <v/>
      </c>
    </row>
    <row r="56" spans="10:19" x14ac:dyDescent="0.25">
      <c r="J56">
        <f t="shared" si="0"/>
        <v>0</v>
      </c>
      <c r="K56">
        <f t="shared" si="1"/>
        <v>0</v>
      </c>
      <c r="M56">
        <f t="shared" si="3"/>
        <v>0</v>
      </c>
      <c r="N56">
        <f t="shared" si="4"/>
        <v>0</v>
      </c>
      <c r="S56" t="str">
        <f t="shared" si="2"/>
        <v/>
      </c>
    </row>
    <row r="57" spans="10:19" x14ac:dyDescent="0.25">
      <c r="J57">
        <f t="shared" si="0"/>
        <v>0</v>
      </c>
      <c r="K57">
        <f t="shared" si="1"/>
        <v>0</v>
      </c>
      <c r="M57">
        <f t="shared" si="3"/>
        <v>0</v>
      </c>
      <c r="N57">
        <f t="shared" si="4"/>
        <v>0</v>
      </c>
      <c r="S57" t="str">
        <f t="shared" si="2"/>
        <v/>
      </c>
    </row>
    <row r="58" spans="10:19" x14ac:dyDescent="0.25">
      <c r="J58">
        <f t="shared" si="0"/>
        <v>0</v>
      </c>
      <c r="K58">
        <f t="shared" si="1"/>
        <v>0</v>
      </c>
      <c r="M58">
        <f t="shared" si="3"/>
        <v>0</v>
      </c>
      <c r="N58">
        <f t="shared" si="4"/>
        <v>0</v>
      </c>
      <c r="S58" t="str">
        <f t="shared" si="2"/>
        <v/>
      </c>
    </row>
    <row r="59" spans="10:19" x14ac:dyDescent="0.25">
      <c r="J59">
        <f t="shared" si="0"/>
        <v>0</v>
      </c>
      <c r="K59">
        <f t="shared" si="1"/>
        <v>0</v>
      </c>
      <c r="M59">
        <f t="shared" si="3"/>
        <v>0</v>
      </c>
      <c r="N59">
        <f t="shared" si="4"/>
        <v>0</v>
      </c>
      <c r="S59" t="str">
        <f t="shared" si="2"/>
        <v/>
      </c>
    </row>
    <row r="60" spans="10:19" x14ac:dyDescent="0.25">
      <c r="J60">
        <f t="shared" si="0"/>
        <v>0</v>
      </c>
      <c r="K60">
        <f t="shared" si="1"/>
        <v>0</v>
      </c>
      <c r="M60">
        <f t="shared" si="3"/>
        <v>0</v>
      </c>
      <c r="N60">
        <f t="shared" si="4"/>
        <v>0</v>
      </c>
      <c r="S60" t="str">
        <f t="shared" si="2"/>
        <v/>
      </c>
    </row>
    <row r="61" spans="10:19" x14ac:dyDescent="0.25">
      <c r="J61">
        <f t="shared" si="0"/>
        <v>0</v>
      </c>
      <c r="K61">
        <f t="shared" si="1"/>
        <v>0</v>
      </c>
      <c r="M61">
        <f t="shared" si="3"/>
        <v>0</v>
      </c>
      <c r="N61">
        <f t="shared" si="4"/>
        <v>0</v>
      </c>
      <c r="S61" t="str">
        <f t="shared" si="2"/>
        <v/>
      </c>
    </row>
    <row r="62" spans="10:19" x14ac:dyDescent="0.25">
      <c r="J62">
        <f t="shared" si="0"/>
        <v>0</v>
      </c>
      <c r="K62">
        <f t="shared" si="1"/>
        <v>0</v>
      </c>
      <c r="M62">
        <f t="shared" si="3"/>
        <v>0</v>
      </c>
      <c r="N62">
        <f t="shared" si="4"/>
        <v>0</v>
      </c>
      <c r="S62" t="str">
        <f t="shared" si="2"/>
        <v/>
      </c>
    </row>
    <row r="63" spans="10:19" x14ac:dyDescent="0.25">
      <c r="J63">
        <f t="shared" si="0"/>
        <v>0</v>
      </c>
      <c r="K63">
        <f t="shared" si="1"/>
        <v>0</v>
      </c>
      <c r="M63">
        <f t="shared" si="3"/>
        <v>0</v>
      </c>
      <c r="N63">
        <f t="shared" si="4"/>
        <v>0</v>
      </c>
      <c r="S63" t="str">
        <f t="shared" si="2"/>
        <v/>
      </c>
    </row>
    <row r="64" spans="10:19" x14ac:dyDescent="0.25">
      <c r="J64">
        <f t="shared" si="0"/>
        <v>0</v>
      </c>
      <c r="K64">
        <f t="shared" si="1"/>
        <v>0</v>
      </c>
      <c r="M64">
        <f t="shared" si="3"/>
        <v>0</v>
      </c>
      <c r="N64">
        <f t="shared" si="4"/>
        <v>0</v>
      </c>
      <c r="S64" t="str">
        <f t="shared" si="2"/>
        <v/>
      </c>
    </row>
    <row r="65" spans="10:19" x14ac:dyDescent="0.25">
      <c r="J65">
        <f t="shared" si="0"/>
        <v>0</v>
      </c>
      <c r="K65">
        <f t="shared" si="1"/>
        <v>0</v>
      </c>
      <c r="M65">
        <f t="shared" si="3"/>
        <v>0</v>
      </c>
      <c r="N65">
        <f t="shared" si="4"/>
        <v>0</v>
      </c>
      <c r="S65" t="str">
        <f t="shared" si="2"/>
        <v/>
      </c>
    </row>
    <row r="66" spans="10:19" x14ac:dyDescent="0.25">
      <c r="J66">
        <f t="shared" si="0"/>
        <v>0</v>
      </c>
      <c r="K66">
        <f t="shared" si="1"/>
        <v>0</v>
      </c>
      <c r="M66">
        <f t="shared" si="3"/>
        <v>0</v>
      </c>
      <c r="N66">
        <f t="shared" si="4"/>
        <v>0</v>
      </c>
      <c r="S66" t="str">
        <f t="shared" si="2"/>
        <v/>
      </c>
    </row>
    <row r="67" spans="10:19" x14ac:dyDescent="0.25">
      <c r="J67">
        <f t="shared" ref="J67:J130" si="5">C67</f>
        <v>0</v>
      </c>
      <c r="K67">
        <f t="shared" si="1"/>
        <v>0</v>
      </c>
      <c r="M67">
        <f t="shared" si="3"/>
        <v>0</v>
      </c>
      <c r="N67">
        <f t="shared" si="4"/>
        <v>0</v>
      </c>
      <c r="S67" t="str">
        <f t="shared" si="2"/>
        <v/>
      </c>
    </row>
    <row r="68" spans="10:19" x14ac:dyDescent="0.25">
      <c r="J68">
        <f t="shared" si="5"/>
        <v>0</v>
      </c>
      <c r="K68">
        <f t="shared" ref="K68:K131" si="6">ROUNDDOWN(F68*$I$2*1/1000,0)</f>
        <v>0</v>
      </c>
      <c r="M68">
        <f t="shared" si="3"/>
        <v>0</v>
      </c>
      <c r="N68">
        <f t="shared" si="4"/>
        <v>0</v>
      </c>
      <c r="S68" t="str">
        <f t="shared" ref="S68:S131" si="7">IF(AND(Q68&lt;&gt;"",R68&lt;&gt;""),Q68-R68,"")</f>
        <v/>
      </c>
    </row>
    <row r="69" spans="10:19" x14ac:dyDescent="0.25">
      <c r="J69">
        <f t="shared" si="5"/>
        <v>0</v>
      </c>
      <c r="K69">
        <f t="shared" si="6"/>
        <v>0</v>
      </c>
      <c r="M69">
        <f t="shared" ref="M69:M132" si="8">J69-J68</f>
        <v>0</v>
      </c>
      <c r="N69">
        <f t="shared" ref="N69:N132" si="9">K69-K68</f>
        <v>0</v>
      </c>
      <c r="S69" t="str">
        <f t="shared" si="7"/>
        <v/>
      </c>
    </row>
    <row r="70" spans="10:19" x14ac:dyDescent="0.25">
      <c r="J70">
        <f t="shared" si="5"/>
        <v>0</v>
      </c>
      <c r="K70">
        <f t="shared" si="6"/>
        <v>0</v>
      </c>
      <c r="M70">
        <f t="shared" si="8"/>
        <v>0</v>
      </c>
      <c r="N70">
        <f t="shared" si="9"/>
        <v>0</v>
      </c>
      <c r="S70" t="str">
        <f t="shared" si="7"/>
        <v/>
      </c>
    </row>
    <row r="71" spans="10:19" x14ac:dyDescent="0.25">
      <c r="J71">
        <f t="shared" si="5"/>
        <v>0</v>
      </c>
      <c r="K71">
        <f t="shared" si="6"/>
        <v>0</v>
      </c>
      <c r="M71">
        <f t="shared" si="8"/>
        <v>0</v>
      </c>
      <c r="N71">
        <f t="shared" si="9"/>
        <v>0</v>
      </c>
      <c r="S71" t="str">
        <f t="shared" si="7"/>
        <v/>
      </c>
    </row>
    <row r="72" spans="10:19" x14ac:dyDescent="0.25">
      <c r="J72">
        <f t="shared" si="5"/>
        <v>0</v>
      </c>
      <c r="K72">
        <f t="shared" si="6"/>
        <v>0</v>
      </c>
      <c r="M72">
        <f t="shared" si="8"/>
        <v>0</v>
      </c>
      <c r="N72">
        <f t="shared" si="9"/>
        <v>0</v>
      </c>
      <c r="S72" t="str">
        <f t="shared" si="7"/>
        <v/>
      </c>
    </row>
    <row r="73" spans="10:19" x14ac:dyDescent="0.25">
      <c r="J73">
        <f t="shared" si="5"/>
        <v>0</v>
      </c>
      <c r="K73">
        <f t="shared" si="6"/>
        <v>0</v>
      </c>
      <c r="M73">
        <f t="shared" si="8"/>
        <v>0</v>
      </c>
      <c r="N73">
        <f t="shared" si="9"/>
        <v>0</v>
      </c>
      <c r="S73" t="str">
        <f t="shared" si="7"/>
        <v/>
      </c>
    </row>
    <row r="74" spans="10:19" x14ac:dyDescent="0.25">
      <c r="J74">
        <f t="shared" si="5"/>
        <v>0</v>
      </c>
      <c r="K74">
        <f t="shared" si="6"/>
        <v>0</v>
      </c>
      <c r="M74">
        <f t="shared" si="8"/>
        <v>0</v>
      </c>
      <c r="N74">
        <f t="shared" si="9"/>
        <v>0</v>
      </c>
      <c r="S74" t="str">
        <f t="shared" si="7"/>
        <v/>
      </c>
    </row>
    <row r="75" spans="10:19" x14ac:dyDescent="0.25">
      <c r="J75">
        <f t="shared" si="5"/>
        <v>0</v>
      </c>
      <c r="K75">
        <f t="shared" si="6"/>
        <v>0</v>
      </c>
      <c r="M75">
        <f t="shared" si="8"/>
        <v>0</v>
      </c>
      <c r="N75">
        <f t="shared" si="9"/>
        <v>0</v>
      </c>
      <c r="S75" t="str">
        <f t="shared" si="7"/>
        <v/>
      </c>
    </row>
    <row r="76" spans="10:19" x14ac:dyDescent="0.25">
      <c r="J76">
        <f t="shared" si="5"/>
        <v>0</v>
      </c>
      <c r="K76">
        <f t="shared" si="6"/>
        <v>0</v>
      </c>
      <c r="M76">
        <f t="shared" si="8"/>
        <v>0</v>
      </c>
      <c r="N76">
        <f t="shared" si="9"/>
        <v>0</v>
      </c>
      <c r="S76" t="str">
        <f t="shared" si="7"/>
        <v/>
      </c>
    </row>
    <row r="77" spans="10:19" x14ac:dyDescent="0.25">
      <c r="J77">
        <f t="shared" si="5"/>
        <v>0</v>
      </c>
      <c r="K77">
        <f t="shared" si="6"/>
        <v>0</v>
      </c>
      <c r="M77">
        <f t="shared" si="8"/>
        <v>0</v>
      </c>
      <c r="N77">
        <f t="shared" si="9"/>
        <v>0</v>
      </c>
      <c r="S77" t="str">
        <f t="shared" si="7"/>
        <v/>
      </c>
    </row>
    <row r="78" spans="10:19" x14ac:dyDescent="0.25">
      <c r="J78">
        <f t="shared" si="5"/>
        <v>0</v>
      </c>
      <c r="K78">
        <f t="shared" si="6"/>
        <v>0</v>
      </c>
      <c r="M78">
        <f t="shared" si="8"/>
        <v>0</v>
      </c>
      <c r="N78">
        <f t="shared" si="9"/>
        <v>0</v>
      </c>
      <c r="S78" t="str">
        <f t="shared" si="7"/>
        <v/>
      </c>
    </row>
    <row r="79" spans="10:19" x14ac:dyDescent="0.25">
      <c r="J79">
        <f t="shared" si="5"/>
        <v>0</v>
      </c>
      <c r="K79">
        <f t="shared" si="6"/>
        <v>0</v>
      </c>
      <c r="M79">
        <f t="shared" si="8"/>
        <v>0</v>
      </c>
      <c r="N79">
        <f t="shared" si="9"/>
        <v>0</v>
      </c>
      <c r="S79" t="str">
        <f t="shared" si="7"/>
        <v/>
      </c>
    </row>
    <row r="80" spans="10:19" x14ac:dyDescent="0.25">
      <c r="J80">
        <f t="shared" si="5"/>
        <v>0</v>
      </c>
      <c r="K80">
        <f t="shared" si="6"/>
        <v>0</v>
      </c>
      <c r="M80">
        <f t="shared" si="8"/>
        <v>0</v>
      </c>
      <c r="N80">
        <f t="shared" si="9"/>
        <v>0</v>
      </c>
      <c r="S80" t="str">
        <f t="shared" si="7"/>
        <v/>
      </c>
    </row>
    <row r="81" spans="10:19" x14ac:dyDescent="0.25">
      <c r="J81">
        <f t="shared" si="5"/>
        <v>0</v>
      </c>
      <c r="K81">
        <f t="shared" si="6"/>
        <v>0</v>
      </c>
      <c r="M81">
        <f t="shared" si="8"/>
        <v>0</v>
      </c>
      <c r="N81">
        <f t="shared" si="9"/>
        <v>0</v>
      </c>
      <c r="S81" t="str">
        <f t="shared" si="7"/>
        <v/>
      </c>
    </row>
    <row r="82" spans="10:19" x14ac:dyDescent="0.25">
      <c r="J82">
        <f t="shared" si="5"/>
        <v>0</v>
      </c>
      <c r="K82">
        <f t="shared" si="6"/>
        <v>0</v>
      </c>
      <c r="M82">
        <f t="shared" si="8"/>
        <v>0</v>
      </c>
      <c r="N82">
        <f t="shared" si="9"/>
        <v>0</v>
      </c>
      <c r="S82" t="str">
        <f t="shared" si="7"/>
        <v/>
      </c>
    </row>
    <row r="83" spans="10:19" x14ac:dyDescent="0.25">
      <c r="J83">
        <f t="shared" si="5"/>
        <v>0</v>
      </c>
      <c r="K83">
        <f t="shared" si="6"/>
        <v>0</v>
      </c>
      <c r="M83">
        <f t="shared" si="8"/>
        <v>0</v>
      </c>
      <c r="N83">
        <f t="shared" si="9"/>
        <v>0</v>
      </c>
      <c r="S83" t="str">
        <f t="shared" si="7"/>
        <v/>
      </c>
    </row>
    <row r="84" spans="10:19" x14ac:dyDescent="0.25">
      <c r="J84">
        <f t="shared" si="5"/>
        <v>0</v>
      </c>
      <c r="K84">
        <f t="shared" si="6"/>
        <v>0</v>
      </c>
      <c r="M84">
        <f t="shared" si="8"/>
        <v>0</v>
      </c>
      <c r="N84">
        <f t="shared" si="9"/>
        <v>0</v>
      </c>
      <c r="S84" t="str">
        <f t="shared" si="7"/>
        <v/>
      </c>
    </row>
    <row r="85" spans="10:19" x14ac:dyDescent="0.25">
      <c r="J85">
        <f t="shared" si="5"/>
        <v>0</v>
      </c>
      <c r="K85">
        <f t="shared" si="6"/>
        <v>0</v>
      </c>
      <c r="M85">
        <f t="shared" si="8"/>
        <v>0</v>
      </c>
      <c r="N85">
        <f t="shared" si="9"/>
        <v>0</v>
      </c>
      <c r="S85" t="str">
        <f t="shared" si="7"/>
        <v/>
      </c>
    </row>
    <row r="86" spans="10:19" x14ac:dyDescent="0.25">
      <c r="J86">
        <f t="shared" si="5"/>
        <v>0</v>
      </c>
      <c r="K86">
        <f t="shared" si="6"/>
        <v>0</v>
      </c>
      <c r="M86">
        <f t="shared" si="8"/>
        <v>0</v>
      </c>
      <c r="N86">
        <f t="shared" si="9"/>
        <v>0</v>
      </c>
      <c r="S86" t="str">
        <f t="shared" si="7"/>
        <v/>
      </c>
    </row>
    <row r="87" spans="10:19" x14ac:dyDescent="0.25">
      <c r="J87">
        <f t="shared" si="5"/>
        <v>0</v>
      </c>
      <c r="K87">
        <f t="shared" si="6"/>
        <v>0</v>
      </c>
      <c r="M87">
        <f t="shared" si="8"/>
        <v>0</v>
      </c>
      <c r="N87">
        <f t="shared" si="9"/>
        <v>0</v>
      </c>
      <c r="S87" t="str">
        <f t="shared" si="7"/>
        <v/>
      </c>
    </row>
    <row r="88" spans="10:19" x14ac:dyDescent="0.25">
      <c r="J88">
        <f t="shared" si="5"/>
        <v>0</v>
      </c>
      <c r="K88">
        <f t="shared" si="6"/>
        <v>0</v>
      </c>
      <c r="M88">
        <f t="shared" si="8"/>
        <v>0</v>
      </c>
      <c r="N88">
        <f t="shared" si="9"/>
        <v>0</v>
      </c>
      <c r="S88" t="str">
        <f t="shared" si="7"/>
        <v/>
      </c>
    </row>
    <row r="89" spans="10:19" x14ac:dyDescent="0.25">
      <c r="J89">
        <f t="shared" si="5"/>
        <v>0</v>
      </c>
      <c r="K89">
        <f t="shared" si="6"/>
        <v>0</v>
      </c>
      <c r="M89">
        <f t="shared" si="8"/>
        <v>0</v>
      </c>
      <c r="N89">
        <f t="shared" si="9"/>
        <v>0</v>
      </c>
      <c r="S89" t="str">
        <f t="shared" si="7"/>
        <v/>
      </c>
    </row>
    <row r="90" spans="10:19" x14ac:dyDescent="0.25">
      <c r="J90">
        <f t="shared" si="5"/>
        <v>0</v>
      </c>
      <c r="K90">
        <f t="shared" si="6"/>
        <v>0</v>
      </c>
      <c r="M90">
        <f t="shared" si="8"/>
        <v>0</v>
      </c>
      <c r="N90">
        <f t="shared" si="9"/>
        <v>0</v>
      </c>
      <c r="S90" t="str">
        <f t="shared" si="7"/>
        <v/>
      </c>
    </row>
    <row r="91" spans="10:19" x14ac:dyDescent="0.25">
      <c r="J91">
        <f t="shared" si="5"/>
        <v>0</v>
      </c>
      <c r="K91">
        <f t="shared" si="6"/>
        <v>0</v>
      </c>
      <c r="M91">
        <f t="shared" si="8"/>
        <v>0</v>
      </c>
      <c r="N91">
        <f t="shared" si="9"/>
        <v>0</v>
      </c>
      <c r="S91" t="str">
        <f t="shared" si="7"/>
        <v/>
      </c>
    </row>
    <row r="92" spans="10:19" x14ac:dyDescent="0.25">
      <c r="J92">
        <f t="shared" si="5"/>
        <v>0</v>
      </c>
      <c r="K92">
        <f t="shared" si="6"/>
        <v>0</v>
      </c>
      <c r="M92">
        <f t="shared" si="8"/>
        <v>0</v>
      </c>
      <c r="N92">
        <f t="shared" si="9"/>
        <v>0</v>
      </c>
      <c r="S92" t="str">
        <f t="shared" si="7"/>
        <v/>
      </c>
    </row>
    <row r="93" spans="10:19" x14ac:dyDescent="0.25">
      <c r="J93">
        <f t="shared" si="5"/>
        <v>0</v>
      </c>
      <c r="K93">
        <f t="shared" si="6"/>
        <v>0</v>
      </c>
      <c r="M93">
        <f t="shared" si="8"/>
        <v>0</v>
      </c>
      <c r="N93">
        <f t="shared" si="9"/>
        <v>0</v>
      </c>
      <c r="S93" t="str">
        <f t="shared" si="7"/>
        <v/>
      </c>
    </row>
    <row r="94" spans="10:19" x14ac:dyDescent="0.25">
      <c r="J94">
        <f t="shared" si="5"/>
        <v>0</v>
      </c>
      <c r="K94">
        <f t="shared" si="6"/>
        <v>0</v>
      </c>
      <c r="M94">
        <f t="shared" si="8"/>
        <v>0</v>
      </c>
      <c r="N94">
        <f t="shared" si="9"/>
        <v>0</v>
      </c>
      <c r="S94" t="str">
        <f t="shared" si="7"/>
        <v/>
      </c>
    </row>
    <row r="95" spans="10:19" x14ac:dyDescent="0.25">
      <c r="J95">
        <f t="shared" si="5"/>
        <v>0</v>
      </c>
      <c r="K95">
        <f t="shared" si="6"/>
        <v>0</v>
      </c>
      <c r="M95">
        <f t="shared" si="8"/>
        <v>0</v>
      </c>
      <c r="N95">
        <f t="shared" si="9"/>
        <v>0</v>
      </c>
      <c r="S95" t="str">
        <f t="shared" si="7"/>
        <v/>
      </c>
    </row>
    <row r="96" spans="10:19" x14ac:dyDescent="0.25">
      <c r="J96">
        <f t="shared" si="5"/>
        <v>0</v>
      </c>
      <c r="K96">
        <f t="shared" si="6"/>
        <v>0</v>
      </c>
      <c r="M96">
        <f t="shared" si="8"/>
        <v>0</v>
      </c>
      <c r="N96">
        <f t="shared" si="9"/>
        <v>0</v>
      </c>
      <c r="S96" t="str">
        <f t="shared" si="7"/>
        <v/>
      </c>
    </row>
    <row r="97" spans="10:19" x14ac:dyDescent="0.25">
      <c r="J97">
        <f t="shared" si="5"/>
        <v>0</v>
      </c>
      <c r="K97">
        <f t="shared" si="6"/>
        <v>0</v>
      </c>
      <c r="M97">
        <f t="shared" si="8"/>
        <v>0</v>
      </c>
      <c r="N97">
        <f t="shared" si="9"/>
        <v>0</v>
      </c>
      <c r="S97" t="str">
        <f t="shared" si="7"/>
        <v/>
      </c>
    </row>
    <row r="98" spans="10:19" x14ac:dyDescent="0.25">
      <c r="J98">
        <f t="shared" si="5"/>
        <v>0</v>
      </c>
      <c r="K98">
        <f t="shared" si="6"/>
        <v>0</v>
      </c>
      <c r="M98">
        <f t="shared" si="8"/>
        <v>0</v>
      </c>
      <c r="N98">
        <f t="shared" si="9"/>
        <v>0</v>
      </c>
      <c r="S98" t="str">
        <f t="shared" si="7"/>
        <v/>
      </c>
    </row>
    <row r="99" spans="10:19" x14ac:dyDescent="0.25">
      <c r="J99">
        <f t="shared" si="5"/>
        <v>0</v>
      </c>
      <c r="K99">
        <f t="shared" si="6"/>
        <v>0</v>
      </c>
      <c r="M99">
        <f t="shared" si="8"/>
        <v>0</v>
      </c>
      <c r="N99">
        <f t="shared" si="9"/>
        <v>0</v>
      </c>
      <c r="S99" t="str">
        <f t="shared" si="7"/>
        <v/>
      </c>
    </row>
    <row r="100" spans="10:19" x14ac:dyDescent="0.25">
      <c r="J100">
        <f t="shared" si="5"/>
        <v>0</v>
      </c>
      <c r="K100">
        <f t="shared" si="6"/>
        <v>0</v>
      </c>
      <c r="M100">
        <f t="shared" si="8"/>
        <v>0</v>
      </c>
      <c r="N100">
        <f t="shared" si="9"/>
        <v>0</v>
      </c>
      <c r="S100" t="str">
        <f t="shared" si="7"/>
        <v/>
      </c>
    </row>
    <row r="101" spans="10:19" x14ac:dyDescent="0.25">
      <c r="J101">
        <f t="shared" si="5"/>
        <v>0</v>
      </c>
      <c r="K101">
        <f t="shared" si="6"/>
        <v>0</v>
      </c>
      <c r="M101">
        <f t="shared" si="8"/>
        <v>0</v>
      </c>
      <c r="N101">
        <f t="shared" si="9"/>
        <v>0</v>
      </c>
      <c r="S101" t="str">
        <f t="shared" si="7"/>
        <v/>
      </c>
    </row>
    <row r="102" spans="10:19" x14ac:dyDescent="0.25">
      <c r="J102">
        <f t="shared" si="5"/>
        <v>0</v>
      </c>
      <c r="K102">
        <f t="shared" si="6"/>
        <v>0</v>
      </c>
      <c r="M102">
        <f t="shared" si="8"/>
        <v>0</v>
      </c>
      <c r="N102">
        <f t="shared" si="9"/>
        <v>0</v>
      </c>
      <c r="S102" t="str">
        <f t="shared" si="7"/>
        <v/>
      </c>
    </row>
    <row r="103" spans="10:19" x14ac:dyDescent="0.25">
      <c r="J103">
        <f t="shared" si="5"/>
        <v>0</v>
      </c>
      <c r="K103">
        <f t="shared" si="6"/>
        <v>0</v>
      </c>
      <c r="M103">
        <f t="shared" si="8"/>
        <v>0</v>
      </c>
      <c r="N103">
        <f t="shared" si="9"/>
        <v>0</v>
      </c>
      <c r="S103" t="str">
        <f t="shared" si="7"/>
        <v/>
      </c>
    </row>
    <row r="104" spans="10:19" x14ac:dyDescent="0.25">
      <c r="J104">
        <f t="shared" si="5"/>
        <v>0</v>
      </c>
      <c r="K104">
        <f t="shared" si="6"/>
        <v>0</v>
      </c>
      <c r="M104">
        <f t="shared" si="8"/>
        <v>0</v>
      </c>
      <c r="N104">
        <f t="shared" si="9"/>
        <v>0</v>
      </c>
      <c r="S104" t="str">
        <f t="shared" si="7"/>
        <v/>
      </c>
    </row>
    <row r="105" spans="10:19" x14ac:dyDescent="0.25">
      <c r="J105">
        <f t="shared" si="5"/>
        <v>0</v>
      </c>
      <c r="K105">
        <f t="shared" si="6"/>
        <v>0</v>
      </c>
      <c r="M105">
        <f t="shared" si="8"/>
        <v>0</v>
      </c>
      <c r="N105">
        <f t="shared" si="9"/>
        <v>0</v>
      </c>
      <c r="S105" t="str">
        <f t="shared" si="7"/>
        <v/>
      </c>
    </row>
    <row r="106" spans="10:19" x14ac:dyDescent="0.25">
      <c r="J106">
        <f t="shared" si="5"/>
        <v>0</v>
      </c>
      <c r="K106">
        <f t="shared" si="6"/>
        <v>0</v>
      </c>
      <c r="M106">
        <f t="shared" si="8"/>
        <v>0</v>
      </c>
      <c r="N106">
        <f t="shared" si="9"/>
        <v>0</v>
      </c>
      <c r="S106" t="str">
        <f t="shared" si="7"/>
        <v/>
      </c>
    </row>
    <row r="107" spans="10:19" x14ac:dyDescent="0.25">
      <c r="J107">
        <f t="shared" si="5"/>
        <v>0</v>
      </c>
      <c r="K107">
        <f t="shared" si="6"/>
        <v>0</v>
      </c>
      <c r="M107">
        <f t="shared" si="8"/>
        <v>0</v>
      </c>
      <c r="N107">
        <f t="shared" si="9"/>
        <v>0</v>
      </c>
      <c r="S107" t="str">
        <f t="shared" si="7"/>
        <v/>
      </c>
    </row>
    <row r="108" spans="10:19" x14ac:dyDescent="0.25">
      <c r="J108">
        <f t="shared" si="5"/>
        <v>0</v>
      </c>
      <c r="K108">
        <f t="shared" si="6"/>
        <v>0</v>
      </c>
      <c r="M108">
        <f t="shared" si="8"/>
        <v>0</v>
      </c>
      <c r="N108">
        <f t="shared" si="9"/>
        <v>0</v>
      </c>
      <c r="S108" t="str">
        <f t="shared" si="7"/>
        <v/>
      </c>
    </row>
    <row r="109" spans="10:19" x14ac:dyDescent="0.25">
      <c r="J109">
        <f t="shared" si="5"/>
        <v>0</v>
      </c>
      <c r="K109">
        <f t="shared" si="6"/>
        <v>0</v>
      </c>
      <c r="M109">
        <f t="shared" si="8"/>
        <v>0</v>
      </c>
      <c r="N109">
        <f t="shared" si="9"/>
        <v>0</v>
      </c>
      <c r="S109" t="str">
        <f t="shared" si="7"/>
        <v/>
      </c>
    </row>
    <row r="110" spans="10:19" x14ac:dyDescent="0.25">
      <c r="J110">
        <f t="shared" si="5"/>
        <v>0</v>
      </c>
      <c r="K110">
        <f t="shared" si="6"/>
        <v>0</v>
      </c>
      <c r="M110">
        <f t="shared" si="8"/>
        <v>0</v>
      </c>
      <c r="N110">
        <f t="shared" si="9"/>
        <v>0</v>
      </c>
      <c r="S110" t="str">
        <f t="shared" si="7"/>
        <v/>
      </c>
    </row>
    <row r="111" spans="10:19" x14ac:dyDescent="0.25">
      <c r="J111">
        <f t="shared" si="5"/>
        <v>0</v>
      </c>
      <c r="K111">
        <f t="shared" si="6"/>
        <v>0</v>
      </c>
      <c r="M111">
        <f t="shared" si="8"/>
        <v>0</v>
      </c>
      <c r="N111">
        <f t="shared" si="9"/>
        <v>0</v>
      </c>
      <c r="S111" t="str">
        <f t="shared" si="7"/>
        <v/>
      </c>
    </row>
    <row r="112" spans="10:19" x14ac:dyDescent="0.25">
      <c r="J112">
        <f t="shared" si="5"/>
        <v>0</v>
      </c>
      <c r="K112">
        <f t="shared" si="6"/>
        <v>0</v>
      </c>
      <c r="M112">
        <f t="shared" si="8"/>
        <v>0</v>
      </c>
      <c r="N112">
        <f t="shared" si="9"/>
        <v>0</v>
      </c>
      <c r="S112" t="str">
        <f t="shared" si="7"/>
        <v/>
      </c>
    </row>
    <row r="113" spans="10:19" x14ac:dyDescent="0.25">
      <c r="J113">
        <f t="shared" si="5"/>
        <v>0</v>
      </c>
      <c r="K113">
        <f t="shared" si="6"/>
        <v>0</v>
      </c>
      <c r="M113">
        <f t="shared" si="8"/>
        <v>0</v>
      </c>
      <c r="N113">
        <f t="shared" si="9"/>
        <v>0</v>
      </c>
      <c r="S113" t="str">
        <f t="shared" si="7"/>
        <v/>
      </c>
    </row>
    <row r="114" spans="10:19" x14ac:dyDescent="0.25">
      <c r="J114">
        <f t="shared" si="5"/>
        <v>0</v>
      </c>
      <c r="K114">
        <f t="shared" si="6"/>
        <v>0</v>
      </c>
      <c r="M114">
        <f t="shared" si="8"/>
        <v>0</v>
      </c>
      <c r="N114">
        <f t="shared" si="9"/>
        <v>0</v>
      </c>
      <c r="S114" t="str">
        <f t="shared" si="7"/>
        <v/>
      </c>
    </row>
    <row r="115" spans="10:19" x14ac:dyDescent="0.25">
      <c r="J115">
        <f t="shared" si="5"/>
        <v>0</v>
      </c>
      <c r="K115">
        <f t="shared" si="6"/>
        <v>0</v>
      </c>
      <c r="M115">
        <f t="shared" si="8"/>
        <v>0</v>
      </c>
      <c r="N115">
        <f t="shared" si="9"/>
        <v>0</v>
      </c>
      <c r="S115" t="str">
        <f t="shared" si="7"/>
        <v/>
      </c>
    </row>
    <row r="116" spans="10:19" x14ac:dyDescent="0.25">
      <c r="J116">
        <f t="shared" si="5"/>
        <v>0</v>
      </c>
      <c r="K116">
        <f t="shared" si="6"/>
        <v>0</v>
      </c>
      <c r="M116">
        <f t="shared" si="8"/>
        <v>0</v>
      </c>
      <c r="N116">
        <f t="shared" si="9"/>
        <v>0</v>
      </c>
      <c r="S116" t="str">
        <f t="shared" si="7"/>
        <v/>
      </c>
    </row>
    <row r="117" spans="10:19" x14ac:dyDescent="0.25">
      <c r="J117">
        <f t="shared" si="5"/>
        <v>0</v>
      </c>
      <c r="K117">
        <f t="shared" si="6"/>
        <v>0</v>
      </c>
      <c r="M117">
        <f t="shared" si="8"/>
        <v>0</v>
      </c>
      <c r="N117">
        <f t="shared" si="9"/>
        <v>0</v>
      </c>
      <c r="S117" t="str">
        <f t="shared" si="7"/>
        <v/>
      </c>
    </row>
    <row r="118" spans="10:19" x14ac:dyDescent="0.25">
      <c r="J118">
        <f t="shared" si="5"/>
        <v>0</v>
      </c>
      <c r="K118">
        <f t="shared" si="6"/>
        <v>0</v>
      </c>
      <c r="M118">
        <f t="shared" si="8"/>
        <v>0</v>
      </c>
      <c r="N118">
        <f t="shared" si="9"/>
        <v>0</v>
      </c>
      <c r="S118" t="str">
        <f t="shared" si="7"/>
        <v/>
      </c>
    </row>
    <row r="119" spans="10:19" x14ac:dyDescent="0.25">
      <c r="J119">
        <f t="shared" si="5"/>
        <v>0</v>
      </c>
      <c r="K119">
        <f t="shared" si="6"/>
        <v>0</v>
      </c>
      <c r="M119">
        <f t="shared" si="8"/>
        <v>0</v>
      </c>
      <c r="N119">
        <f t="shared" si="9"/>
        <v>0</v>
      </c>
      <c r="S119" t="str">
        <f t="shared" si="7"/>
        <v/>
      </c>
    </row>
    <row r="120" spans="10:19" x14ac:dyDescent="0.25">
      <c r="J120">
        <f t="shared" si="5"/>
        <v>0</v>
      </c>
      <c r="K120">
        <f t="shared" si="6"/>
        <v>0</v>
      </c>
      <c r="M120">
        <f t="shared" si="8"/>
        <v>0</v>
      </c>
      <c r="N120">
        <f t="shared" si="9"/>
        <v>0</v>
      </c>
      <c r="S120" t="str">
        <f t="shared" si="7"/>
        <v/>
      </c>
    </row>
    <row r="121" spans="10:19" x14ac:dyDescent="0.25">
      <c r="J121">
        <f t="shared" si="5"/>
        <v>0</v>
      </c>
      <c r="K121">
        <f t="shared" si="6"/>
        <v>0</v>
      </c>
      <c r="M121">
        <f t="shared" si="8"/>
        <v>0</v>
      </c>
      <c r="N121">
        <f t="shared" si="9"/>
        <v>0</v>
      </c>
      <c r="S121" t="str">
        <f t="shared" si="7"/>
        <v/>
      </c>
    </row>
    <row r="122" spans="10:19" x14ac:dyDescent="0.25">
      <c r="J122">
        <f t="shared" si="5"/>
        <v>0</v>
      </c>
      <c r="K122">
        <f t="shared" si="6"/>
        <v>0</v>
      </c>
      <c r="M122">
        <f t="shared" si="8"/>
        <v>0</v>
      </c>
      <c r="N122">
        <f t="shared" si="9"/>
        <v>0</v>
      </c>
      <c r="S122" t="str">
        <f t="shared" si="7"/>
        <v/>
      </c>
    </row>
    <row r="123" spans="10:19" x14ac:dyDescent="0.25">
      <c r="J123">
        <f t="shared" si="5"/>
        <v>0</v>
      </c>
      <c r="K123">
        <f t="shared" si="6"/>
        <v>0</v>
      </c>
      <c r="M123">
        <f t="shared" si="8"/>
        <v>0</v>
      </c>
      <c r="N123">
        <f t="shared" si="9"/>
        <v>0</v>
      </c>
      <c r="S123" t="str">
        <f t="shared" si="7"/>
        <v/>
      </c>
    </row>
    <row r="124" spans="10:19" x14ac:dyDescent="0.25">
      <c r="J124">
        <f t="shared" si="5"/>
        <v>0</v>
      </c>
      <c r="K124">
        <f t="shared" si="6"/>
        <v>0</v>
      </c>
      <c r="M124">
        <f t="shared" si="8"/>
        <v>0</v>
      </c>
      <c r="N124">
        <f t="shared" si="9"/>
        <v>0</v>
      </c>
      <c r="S124" t="str">
        <f t="shared" si="7"/>
        <v/>
      </c>
    </row>
    <row r="125" spans="10:19" x14ac:dyDescent="0.25">
      <c r="J125">
        <f t="shared" si="5"/>
        <v>0</v>
      </c>
      <c r="K125">
        <f t="shared" si="6"/>
        <v>0</v>
      </c>
      <c r="M125">
        <f t="shared" si="8"/>
        <v>0</v>
      </c>
      <c r="N125">
        <f t="shared" si="9"/>
        <v>0</v>
      </c>
      <c r="S125" t="str">
        <f t="shared" si="7"/>
        <v/>
      </c>
    </row>
    <row r="126" spans="10:19" x14ac:dyDescent="0.25">
      <c r="J126">
        <f t="shared" si="5"/>
        <v>0</v>
      </c>
      <c r="K126">
        <f t="shared" si="6"/>
        <v>0</v>
      </c>
      <c r="M126">
        <f t="shared" si="8"/>
        <v>0</v>
      </c>
      <c r="N126">
        <f t="shared" si="9"/>
        <v>0</v>
      </c>
      <c r="S126" t="str">
        <f t="shared" si="7"/>
        <v/>
      </c>
    </row>
    <row r="127" spans="10:19" x14ac:dyDescent="0.25">
      <c r="J127">
        <f t="shared" si="5"/>
        <v>0</v>
      </c>
      <c r="K127">
        <f t="shared" si="6"/>
        <v>0</v>
      </c>
      <c r="M127">
        <f t="shared" si="8"/>
        <v>0</v>
      </c>
      <c r="N127">
        <f t="shared" si="9"/>
        <v>0</v>
      </c>
      <c r="S127" t="str">
        <f t="shared" si="7"/>
        <v/>
      </c>
    </row>
    <row r="128" spans="10:19" x14ac:dyDescent="0.25">
      <c r="J128">
        <f t="shared" si="5"/>
        <v>0</v>
      </c>
      <c r="K128">
        <f t="shared" si="6"/>
        <v>0</v>
      </c>
      <c r="M128">
        <f t="shared" si="8"/>
        <v>0</v>
      </c>
      <c r="N128">
        <f t="shared" si="9"/>
        <v>0</v>
      </c>
      <c r="S128" t="str">
        <f t="shared" si="7"/>
        <v/>
      </c>
    </row>
    <row r="129" spans="10:19" x14ac:dyDescent="0.25">
      <c r="J129">
        <f t="shared" si="5"/>
        <v>0</v>
      </c>
      <c r="K129">
        <f t="shared" si="6"/>
        <v>0</v>
      </c>
      <c r="M129">
        <f t="shared" si="8"/>
        <v>0</v>
      </c>
      <c r="N129">
        <f t="shared" si="9"/>
        <v>0</v>
      </c>
      <c r="S129" t="str">
        <f t="shared" si="7"/>
        <v/>
      </c>
    </row>
    <row r="130" spans="10:19" x14ac:dyDescent="0.25">
      <c r="J130">
        <f t="shared" si="5"/>
        <v>0</v>
      </c>
      <c r="K130">
        <f t="shared" si="6"/>
        <v>0</v>
      </c>
      <c r="M130">
        <f t="shared" si="8"/>
        <v>0</v>
      </c>
      <c r="N130">
        <f t="shared" si="9"/>
        <v>0</v>
      </c>
      <c r="S130" t="str">
        <f t="shared" si="7"/>
        <v/>
      </c>
    </row>
    <row r="131" spans="10:19" x14ac:dyDescent="0.25">
      <c r="J131">
        <f t="shared" ref="J131:J194" si="10">C131</f>
        <v>0</v>
      </c>
      <c r="K131">
        <f t="shared" si="6"/>
        <v>0</v>
      </c>
      <c r="M131">
        <f t="shared" si="8"/>
        <v>0</v>
      </c>
      <c r="N131">
        <f t="shared" si="9"/>
        <v>0</v>
      </c>
      <c r="S131" t="str">
        <f t="shared" si="7"/>
        <v/>
      </c>
    </row>
    <row r="132" spans="10:19" x14ac:dyDescent="0.25">
      <c r="J132">
        <f t="shared" si="10"/>
        <v>0</v>
      </c>
      <c r="K132">
        <f t="shared" ref="K132:K195" si="11">ROUNDDOWN(F132*$I$2*1/1000,0)</f>
        <v>0</v>
      </c>
      <c r="M132">
        <f t="shared" si="8"/>
        <v>0</v>
      </c>
      <c r="N132">
        <f t="shared" si="9"/>
        <v>0</v>
      </c>
      <c r="S132" t="str">
        <f t="shared" ref="S132:S195" si="12">IF(AND(Q132&lt;&gt;"",R132&lt;&gt;""),Q132-R132,"")</f>
        <v/>
      </c>
    </row>
    <row r="133" spans="10:19" x14ac:dyDescent="0.25">
      <c r="J133">
        <f t="shared" si="10"/>
        <v>0</v>
      </c>
      <c r="K133">
        <f t="shared" si="11"/>
        <v>0</v>
      </c>
      <c r="M133">
        <f t="shared" ref="M133:M196" si="13">J133-J132</f>
        <v>0</v>
      </c>
      <c r="N133">
        <f t="shared" ref="N133:N196" si="14">K133-K132</f>
        <v>0</v>
      </c>
      <c r="S133" t="str">
        <f t="shared" si="12"/>
        <v/>
      </c>
    </row>
    <row r="134" spans="10:19" x14ac:dyDescent="0.25">
      <c r="J134">
        <f t="shared" si="10"/>
        <v>0</v>
      </c>
      <c r="K134">
        <f t="shared" si="11"/>
        <v>0</v>
      </c>
      <c r="M134">
        <f t="shared" si="13"/>
        <v>0</v>
      </c>
      <c r="N134">
        <f t="shared" si="14"/>
        <v>0</v>
      </c>
      <c r="S134" t="str">
        <f t="shared" si="12"/>
        <v/>
      </c>
    </row>
    <row r="135" spans="10:19" x14ac:dyDescent="0.25">
      <c r="J135">
        <f t="shared" si="10"/>
        <v>0</v>
      </c>
      <c r="K135">
        <f t="shared" si="11"/>
        <v>0</v>
      </c>
      <c r="M135">
        <f t="shared" si="13"/>
        <v>0</v>
      </c>
      <c r="N135">
        <f t="shared" si="14"/>
        <v>0</v>
      </c>
      <c r="S135" t="str">
        <f t="shared" si="12"/>
        <v/>
      </c>
    </row>
    <row r="136" spans="10:19" x14ac:dyDescent="0.25">
      <c r="J136">
        <f t="shared" si="10"/>
        <v>0</v>
      </c>
      <c r="K136">
        <f t="shared" si="11"/>
        <v>0</v>
      </c>
      <c r="M136">
        <f t="shared" si="13"/>
        <v>0</v>
      </c>
      <c r="N136">
        <f t="shared" si="14"/>
        <v>0</v>
      </c>
      <c r="S136" t="str">
        <f t="shared" si="12"/>
        <v/>
      </c>
    </row>
    <row r="137" spans="10:19" x14ac:dyDescent="0.25">
      <c r="J137">
        <f t="shared" si="10"/>
        <v>0</v>
      </c>
      <c r="K137">
        <f t="shared" si="11"/>
        <v>0</v>
      </c>
      <c r="M137">
        <f t="shared" si="13"/>
        <v>0</v>
      </c>
      <c r="N137">
        <f t="shared" si="14"/>
        <v>0</v>
      </c>
      <c r="S137" t="str">
        <f t="shared" si="12"/>
        <v/>
      </c>
    </row>
    <row r="138" spans="10:19" x14ac:dyDescent="0.25">
      <c r="J138">
        <f t="shared" si="10"/>
        <v>0</v>
      </c>
      <c r="K138">
        <f t="shared" si="11"/>
        <v>0</v>
      </c>
      <c r="M138">
        <f t="shared" si="13"/>
        <v>0</v>
      </c>
      <c r="N138">
        <f t="shared" si="14"/>
        <v>0</v>
      </c>
      <c r="S138" t="str">
        <f t="shared" si="12"/>
        <v/>
      </c>
    </row>
    <row r="139" spans="10:19" x14ac:dyDescent="0.25">
      <c r="J139">
        <f t="shared" si="10"/>
        <v>0</v>
      </c>
      <c r="K139">
        <f t="shared" si="11"/>
        <v>0</v>
      </c>
      <c r="M139">
        <f t="shared" si="13"/>
        <v>0</v>
      </c>
      <c r="N139">
        <f t="shared" si="14"/>
        <v>0</v>
      </c>
      <c r="S139" t="str">
        <f t="shared" si="12"/>
        <v/>
      </c>
    </row>
    <row r="140" spans="10:19" x14ac:dyDescent="0.25">
      <c r="J140">
        <f t="shared" si="10"/>
        <v>0</v>
      </c>
      <c r="K140">
        <f t="shared" si="11"/>
        <v>0</v>
      </c>
      <c r="M140">
        <f t="shared" si="13"/>
        <v>0</v>
      </c>
      <c r="N140">
        <f t="shared" si="14"/>
        <v>0</v>
      </c>
      <c r="S140" t="str">
        <f t="shared" si="12"/>
        <v/>
      </c>
    </row>
    <row r="141" spans="10:19" x14ac:dyDescent="0.25">
      <c r="J141">
        <f t="shared" si="10"/>
        <v>0</v>
      </c>
      <c r="K141">
        <f t="shared" si="11"/>
        <v>0</v>
      </c>
      <c r="M141">
        <f t="shared" si="13"/>
        <v>0</v>
      </c>
      <c r="N141">
        <f t="shared" si="14"/>
        <v>0</v>
      </c>
      <c r="S141" t="str">
        <f t="shared" si="12"/>
        <v/>
      </c>
    </row>
    <row r="142" spans="10:19" x14ac:dyDescent="0.25">
      <c r="J142">
        <f t="shared" si="10"/>
        <v>0</v>
      </c>
      <c r="K142">
        <f t="shared" si="11"/>
        <v>0</v>
      </c>
      <c r="M142">
        <f t="shared" si="13"/>
        <v>0</v>
      </c>
      <c r="N142">
        <f t="shared" si="14"/>
        <v>0</v>
      </c>
    </row>
    <row r="143" spans="10:19" x14ac:dyDescent="0.25">
      <c r="J143">
        <f t="shared" si="10"/>
        <v>0</v>
      </c>
      <c r="K143">
        <f t="shared" si="11"/>
        <v>0</v>
      </c>
      <c r="M143">
        <f t="shared" si="13"/>
        <v>0</v>
      </c>
      <c r="N143">
        <f t="shared" si="14"/>
        <v>0</v>
      </c>
      <c r="S143" t="str">
        <f t="shared" si="12"/>
        <v/>
      </c>
    </row>
    <row r="144" spans="10:19" x14ac:dyDescent="0.25">
      <c r="J144">
        <f t="shared" si="10"/>
        <v>0</v>
      </c>
      <c r="K144">
        <f t="shared" si="11"/>
        <v>0</v>
      </c>
      <c r="M144">
        <f t="shared" si="13"/>
        <v>0</v>
      </c>
      <c r="N144">
        <f t="shared" si="14"/>
        <v>0</v>
      </c>
      <c r="S144" t="str">
        <f t="shared" si="12"/>
        <v/>
      </c>
    </row>
    <row r="145" spans="10:19" x14ac:dyDescent="0.25">
      <c r="J145">
        <f t="shared" si="10"/>
        <v>0</v>
      </c>
      <c r="K145">
        <f t="shared" si="11"/>
        <v>0</v>
      </c>
      <c r="M145">
        <f t="shared" si="13"/>
        <v>0</v>
      </c>
      <c r="N145">
        <f t="shared" si="14"/>
        <v>0</v>
      </c>
      <c r="S145" t="str">
        <f t="shared" si="12"/>
        <v/>
      </c>
    </row>
    <row r="146" spans="10:19" x14ac:dyDescent="0.25">
      <c r="J146">
        <f t="shared" si="10"/>
        <v>0</v>
      </c>
      <c r="K146">
        <f t="shared" si="11"/>
        <v>0</v>
      </c>
      <c r="M146">
        <f t="shared" si="13"/>
        <v>0</v>
      </c>
      <c r="N146">
        <f t="shared" si="14"/>
        <v>0</v>
      </c>
      <c r="S146" t="str">
        <f t="shared" si="12"/>
        <v/>
      </c>
    </row>
    <row r="147" spans="10:19" x14ac:dyDescent="0.25">
      <c r="J147">
        <f t="shared" si="10"/>
        <v>0</v>
      </c>
      <c r="K147">
        <f t="shared" si="11"/>
        <v>0</v>
      </c>
      <c r="M147">
        <f t="shared" si="13"/>
        <v>0</v>
      </c>
      <c r="N147">
        <f t="shared" si="14"/>
        <v>0</v>
      </c>
      <c r="S147" t="str">
        <f t="shared" si="12"/>
        <v/>
      </c>
    </row>
    <row r="148" spans="10:19" x14ac:dyDescent="0.25">
      <c r="J148">
        <f t="shared" si="10"/>
        <v>0</v>
      </c>
      <c r="K148">
        <f t="shared" si="11"/>
        <v>0</v>
      </c>
      <c r="M148">
        <f t="shared" si="13"/>
        <v>0</v>
      </c>
      <c r="N148">
        <f t="shared" si="14"/>
        <v>0</v>
      </c>
      <c r="S148" t="str">
        <f t="shared" si="12"/>
        <v/>
      </c>
    </row>
    <row r="149" spans="10:19" x14ac:dyDescent="0.25">
      <c r="J149">
        <f t="shared" si="10"/>
        <v>0</v>
      </c>
      <c r="K149">
        <f t="shared" si="11"/>
        <v>0</v>
      </c>
      <c r="M149">
        <f t="shared" si="13"/>
        <v>0</v>
      </c>
      <c r="N149">
        <f t="shared" si="14"/>
        <v>0</v>
      </c>
      <c r="S149" t="str">
        <f t="shared" si="12"/>
        <v/>
      </c>
    </row>
    <row r="150" spans="10:19" x14ac:dyDescent="0.25">
      <c r="J150">
        <f t="shared" si="10"/>
        <v>0</v>
      </c>
      <c r="K150">
        <f t="shared" si="11"/>
        <v>0</v>
      </c>
      <c r="M150">
        <f t="shared" si="13"/>
        <v>0</v>
      </c>
      <c r="N150">
        <f t="shared" si="14"/>
        <v>0</v>
      </c>
      <c r="S150" t="str">
        <f t="shared" si="12"/>
        <v/>
      </c>
    </row>
    <row r="151" spans="10:19" x14ac:dyDescent="0.25">
      <c r="J151">
        <f t="shared" si="10"/>
        <v>0</v>
      </c>
      <c r="K151">
        <f t="shared" si="11"/>
        <v>0</v>
      </c>
      <c r="M151">
        <f t="shared" si="13"/>
        <v>0</v>
      </c>
      <c r="N151">
        <f t="shared" si="14"/>
        <v>0</v>
      </c>
      <c r="S151" t="str">
        <f t="shared" si="12"/>
        <v/>
      </c>
    </row>
    <row r="152" spans="10:19" x14ac:dyDescent="0.25">
      <c r="J152">
        <f t="shared" si="10"/>
        <v>0</v>
      </c>
      <c r="K152">
        <f t="shared" si="11"/>
        <v>0</v>
      </c>
      <c r="M152">
        <f t="shared" si="13"/>
        <v>0</v>
      </c>
      <c r="N152">
        <f t="shared" si="14"/>
        <v>0</v>
      </c>
      <c r="S152" t="str">
        <f t="shared" si="12"/>
        <v/>
      </c>
    </row>
    <row r="153" spans="10:19" x14ac:dyDescent="0.25">
      <c r="J153">
        <f t="shared" si="10"/>
        <v>0</v>
      </c>
      <c r="K153">
        <f t="shared" si="11"/>
        <v>0</v>
      </c>
      <c r="M153">
        <f t="shared" si="13"/>
        <v>0</v>
      </c>
      <c r="N153">
        <f t="shared" si="14"/>
        <v>0</v>
      </c>
      <c r="S153" t="str">
        <f t="shared" si="12"/>
        <v/>
      </c>
    </row>
    <row r="154" spans="10:19" x14ac:dyDescent="0.25">
      <c r="J154">
        <f t="shared" si="10"/>
        <v>0</v>
      </c>
      <c r="K154">
        <f t="shared" si="11"/>
        <v>0</v>
      </c>
      <c r="M154">
        <f t="shared" si="13"/>
        <v>0</v>
      </c>
      <c r="N154">
        <f t="shared" si="14"/>
        <v>0</v>
      </c>
      <c r="S154" t="str">
        <f t="shared" si="12"/>
        <v/>
      </c>
    </row>
    <row r="155" spans="10:19" x14ac:dyDescent="0.25">
      <c r="J155">
        <f t="shared" si="10"/>
        <v>0</v>
      </c>
      <c r="K155">
        <f t="shared" si="11"/>
        <v>0</v>
      </c>
      <c r="M155">
        <f t="shared" si="13"/>
        <v>0</v>
      </c>
      <c r="N155">
        <f t="shared" si="14"/>
        <v>0</v>
      </c>
      <c r="S155" t="str">
        <f t="shared" si="12"/>
        <v/>
      </c>
    </row>
    <row r="156" spans="10:19" x14ac:dyDescent="0.25">
      <c r="J156">
        <f t="shared" si="10"/>
        <v>0</v>
      </c>
      <c r="K156">
        <f t="shared" si="11"/>
        <v>0</v>
      </c>
      <c r="M156">
        <f t="shared" si="13"/>
        <v>0</v>
      </c>
      <c r="N156">
        <f t="shared" si="14"/>
        <v>0</v>
      </c>
      <c r="S156" t="str">
        <f t="shared" si="12"/>
        <v/>
      </c>
    </row>
    <row r="157" spans="10:19" x14ac:dyDescent="0.25">
      <c r="J157">
        <f t="shared" si="10"/>
        <v>0</v>
      </c>
      <c r="K157">
        <f t="shared" si="11"/>
        <v>0</v>
      </c>
      <c r="M157">
        <f t="shared" si="13"/>
        <v>0</v>
      </c>
      <c r="N157">
        <f t="shared" si="14"/>
        <v>0</v>
      </c>
      <c r="S157" t="str">
        <f t="shared" si="12"/>
        <v/>
      </c>
    </row>
    <row r="158" spans="10:19" x14ac:dyDescent="0.25">
      <c r="J158">
        <f t="shared" si="10"/>
        <v>0</v>
      </c>
      <c r="K158">
        <f t="shared" si="11"/>
        <v>0</v>
      </c>
      <c r="M158">
        <f t="shared" si="13"/>
        <v>0</v>
      </c>
      <c r="N158">
        <f t="shared" si="14"/>
        <v>0</v>
      </c>
      <c r="S158" t="str">
        <f t="shared" si="12"/>
        <v/>
      </c>
    </row>
    <row r="159" spans="10:19" x14ac:dyDescent="0.25">
      <c r="J159">
        <f t="shared" si="10"/>
        <v>0</v>
      </c>
      <c r="K159">
        <f t="shared" si="11"/>
        <v>0</v>
      </c>
      <c r="M159">
        <f t="shared" si="13"/>
        <v>0</v>
      </c>
      <c r="N159">
        <f t="shared" si="14"/>
        <v>0</v>
      </c>
      <c r="S159" t="str">
        <f t="shared" si="12"/>
        <v/>
      </c>
    </row>
    <row r="160" spans="10:19" x14ac:dyDescent="0.25">
      <c r="J160">
        <f t="shared" si="10"/>
        <v>0</v>
      </c>
      <c r="K160">
        <f t="shared" si="11"/>
        <v>0</v>
      </c>
      <c r="M160">
        <f t="shared" si="13"/>
        <v>0</v>
      </c>
      <c r="N160">
        <f t="shared" si="14"/>
        <v>0</v>
      </c>
      <c r="S160" t="str">
        <f t="shared" si="12"/>
        <v/>
      </c>
    </row>
    <row r="161" spans="10:19" x14ac:dyDescent="0.25">
      <c r="J161">
        <f t="shared" si="10"/>
        <v>0</v>
      </c>
      <c r="K161">
        <f t="shared" si="11"/>
        <v>0</v>
      </c>
      <c r="M161">
        <f t="shared" si="13"/>
        <v>0</v>
      </c>
      <c r="N161">
        <f t="shared" si="14"/>
        <v>0</v>
      </c>
      <c r="S161" t="str">
        <f t="shared" si="12"/>
        <v/>
      </c>
    </row>
    <row r="162" spans="10:19" x14ac:dyDescent="0.25">
      <c r="J162">
        <f t="shared" si="10"/>
        <v>0</v>
      </c>
      <c r="K162">
        <f t="shared" si="11"/>
        <v>0</v>
      </c>
      <c r="M162">
        <f t="shared" si="13"/>
        <v>0</v>
      </c>
      <c r="N162">
        <f t="shared" si="14"/>
        <v>0</v>
      </c>
      <c r="S162" t="str">
        <f t="shared" si="12"/>
        <v/>
      </c>
    </row>
    <row r="163" spans="10:19" x14ac:dyDescent="0.25">
      <c r="J163">
        <f t="shared" si="10"/>
        <v>0</v>
      </c>
      <c r="K163">
        <f t="shared" si="11"/>
        <v>0</v>
      </c>
      <c r="M163">
        <f t="shared" si="13"/>
        <v>0</v>
      </c>
      <c r="N163">
        <f t="shared" si="14"/>
        <v>0</v>
      </c>
      <c r="S163" t="str">
        <f t="shared" si="12"/>
        <v/>
      </c>
    </row>
    <row r="164" spans="10:19" x14ac:dyDescent="0.25">
      <c r="J164">
        <f t="shared" si="10"/>
        <v>0</v>
      </c>
      <c r="K164">
        <f t="shared" si="11"/>
        <v>0</v>
      </c>
      <c r="M164">
        <f t="shared" si="13"/>
        <v>0</v>
      </c>
      <c r="N164">
        <f t="shared" si="14"/>
        <v>0</v>
      </c>
      <c r="S164" t="str">
        <f t="shared" si="12"/>
        <v/>
      </c>
    </row>
    <row r="165" spans="10:19" x14ac:dyDescent="0.25">
      <c r="J165">
        <f t="shared" si="10"/>
        <v>0</v>
      </c>
      <c r="K165">
        <f t="shared" si="11"/>
        <v>0</v>
      </c>
      <c r="M165">
        <f t="shared" si="13"/>
        <v>0</v>
      </c>
      <c r="N165">
        <f t="shared" si="14"/>
        <v>0</v>
      </c>
      <c r="S165" t="str">
        <f t="shared" si="12"/>
        <v/>
      </c>
    </row>
    <row r="166" spans="10:19" x14ac:dyDescent="0.25">
      <c r="J166">
        <f t="shared" si="10"/>
        <v>0</v>
      </c>
      <c r="K166">
        <f t="shared" si="11"/>
        <v>0</v>
      </c>
      <c r="M166">
        <f t="shared" si="13"/>
        <v>0</v>
      </c>
      <c r="N166">
        <f t="shared" si="14"/>
        <v>0</v>
      </c>
      <c r="S166" t="str">
        <f t="shared" si="12"/>
        <v/>
      </c>
    </row>
    <row r="167" spans="10:19" x14ac:dyDescent="0.25">
      <c r="J167">
        <f t="shared" si="10"/>
        <v>0</v>
      </c>
      <c r="K167">
        <f t="shared" si="11"/>
        <v>0</v>
      </c>
      <c r="M167">
        <f t="shared" si="13"/>
        <v>0</v>
      </c>
      <c r="N167">
        <f t="shared" si="14"/>
        <v>0</v>
      </c>
      <c r="S167" t="str">
        <f t="shared" si="12"/>
        <v/>
      </c>
    </row>
    <row r="168" spans="10:19" x14ac:dyDescent="0.25">
      <c r="J168">
        <f t="shared" si="10"/>
        <v>0</v>
      </c>
      <c r="K168">
        <f t="shared" si="11"/>
        <v>0</v>
      </c>
      <c r="M168">
        <f t="shared" si="13"/>
        <v>0</v>
      </c>
      <c r="N168">
        <f t="shared" si="14"/>
        <v>0</v>
      </c>
      <c r="S168" t="str">
        <f t="shared" si="12"/>
        <v/>
      </c>
    </row>
    <row r="169" spans="10:19" x14ac:dyDescent="0.25">
      <c r="J169">
        <f t="shared" si="10"/>
        <v>0</v>
      </c>
      <c r="K169">
        <f t="shared" si="11"/>
        <v>0</v>
      </c>
      <c r="M169">
        <f t="shared" si="13"/>
        <v>0</v>
      </c>
      <c r="N169">
        <f t="shared" si="14"/>
        <v>0</v>
      </c>
      <c r="S169" t="str">
        <f t="shared" si="12"/>
        <v/>
      </c>
    </row>
    <row r="170" spans="10:19" x14ac:dyDescent="0.25">
      <c r="J170">
        <f t="shared" si="10"/>
        <v>0</v>
      </c>
      <c r="K170">
        <f t="shared" si="11"/>
        <v>0</v>
      </c>
      <c r="M170">
        <f t="shared" si="13"/>
        <v>0</v>
      </c>
      <c r="N170">
        <f t="shared" si="14"/>
        <v>0</v>
      </c>
      <c r="S170" t="str">
        <f t="shared" si="12"/>
        <v/>
      </c>
    </row>
    <row r="171" spans="10:19" x14ac:dyDescent="0.25">
      <c r="J171">
        <f t="shared" si="10"/>
        <v>0</v>
      </c>
      <c r="K171">
        <f t="shared" si="11"/>
        <v>0</v>
      </c>
      <c r="M171">
        <f t="shared" si="13"/>
        <v>0</v>
      </c>
      <c r="N171">
        <f t="shared" si="14"/>
        <v>0</v>
      </c>
      <c r="S171" t="str">
        <f t="shared" si="12"/>
        <v/>
      </c>
    </row>
    <row r="172" spans="10:19" x14ac:dyDescent="0.25">
      <c r="J172">
        <f t="shared" si="10"/>
        <v>0</v>
      </c>
      <c r="K172">
        <f t="shared" si="11"/>
        <v>0</v>
      </c>
      <c r="M172">
        <f t="shared" si="13"/>
        <v>0</v>
      </c>
      <c r="N172">
        <f t="shared" si="14"/>
        <v>0</v>
      </c>
      <c r="S172" t="str">
        <f t="shared" si="12"/>
        <v/>
      </c>
    </row>
    <row r="173" spans="10:19" x14ac:dyDescent="0.25">
      <c r="J173">
        <f t="shared" si="10"/>
        <v>0</v>
      </c>
      <c r="K173">
        <f t="shared" si="11"/>
        <v>0</v>
      </c>
      <c r="M173">
        <f t="shared" si="13"/>
        <v>0</v>
      </c>
      <c r="N173">
        <f t="shared" si="14"/>
        <v>0</v>
      </c>
      <c r="S173" t="str">
        <f t="shared" si="12"/>
        <v/>
      </c>
    </row>
    <row r="174" spans="10:19" x14ac:dyDescent="0.25">
      <c r="J174">
        <f t="shared" si="10"/>
        <v>0</v>
      </c>
      <c r="K174">
        <f t="shared" si="11"/>
        <v>0</v>
      </c>
      <c r="M174">
        <f t="shared" si="13"/>
        <v>0</v>
      </c>
      <c r="N174">
        <f t="shared" si="14"/>
        <v>0</v>
      </c>
      <c r="S174" t="str">
        <f t="shared" si="12"/>
        <v/>
      </c>
    </row>
    <row r="175" spans="10:19" x14ac:dyDescent="0.25">
      <c r="J175">
        <f t="shared" si="10"/>
        <v>0</v>
      </c>
      <c r="K175">
        <f t="shared" si="11"/>
        <v>0</v>
      </c>
      <c r="M175">
        <f t="shared" si="13"/>
        <v>0</v>
      </c>
      <c r="N175">
        <f t="shared" si="14"/>
        <v>0</v>
      </c>
      <c r="S175" t="str">
        <f t="shared" si="12"/>
        <v/>
      </c>
    </row>
    <row r="176" spans="10:19" x14ac:dyDescent="0.25">
      <c r="J176">
        <f t="shared" si="10"/>
        <v>0</v>
      </c>
      <c r="K176">
        <f t="shared" si="11"/>
        <v>0</v>
      </c>
      <c r="M176">
        <f t="shared" si="13"/>
        <v>0</v>
      </c>
      <c r="N176">
        <f t="shared" si="14"/>
        <v>0</v>
      </c>
      <c r="S176" t="str">
        <f t="shared" si="12"/>
        <v/>
      </c>
    </row>
    <row r="177" spans="10:19" x14ac:dyDescent="0.25">
      <c r="J177">
        <f t="shared" si="10"/>
        <v>0</v>
      </c>
      <c r="K177">
        <f t="shared" si="11"/>
        <v>0</v>
      </c>
      <c r="M177">
        <f t="shared" si="13"/>
        <v>0</v>
      </c>
      <c r="N177">
        <f t="shared" si="14"/>
        <v>0</v>
      </c>
      <c r="S177" t="str">
        <f t="shared" si="12"/>
        <v/>
      </c>
    </row>
    <row r="178" spans="10:19" x14ac:dyDescent="0.25">
      <c r="J178">
        <f t="shared" si="10"/>
        <v>0</v>
      </c>
      <c r="K178">
        <f t="shared" si="11"/>
        <v>0</v>
      </c>
      <c r="M178">
        <f t="shared" si="13"/>
        <v>0</v>
      </c>
      <c r="N178">
        <f t="shared" si="14"/>
        <v>0</v>
      </c>
      <c r="S178" t="str">
        <f t="shared" si="12"/>
        <v/>
      </c>
    </row>
    <row r="179" spans="10:19" x14ac:dyDescent="0.25">
      <c r="J179">
        <f t="shared" si="10"/>
        <v>0</v>
      </c>
      <c r="K179">
        <f t="shared" si="11"/>
        <v>0</v>
      </c>
      <c r="M179">
        <f t="shared" si="13"/>
        <v>0</v>
      </c>
      <c r="N179">
        <f t="shared" si="14"/>
        <v>0</v>
      </c>
      <c r="S179" t="str">
        <f t="shared" si="12"/>
        <v/>
      </c>
    </row>
    <row r="180" spans="10:19" x14ac:dyDescent="0.25">
      <c r="J180">
        <f t="shared" si="10"/>
        <v>0</v>
      </c>
      <c r="K180">
        <f t="shared" si="11"/>
        <v>0</v>
      </c>
      <c r="M180">
        <f t="shared" si="13"/>
        <v>0</v>
      </c>
      <c r="N180">
        <f t="shared" si="14"/>
        <v>0</v>
      </c>
      <c r="S180" t="str">
        <f t="shared" si="12"/>
        <v/>
      </c>
    </row>
    <row r="181" spans="10:19" x14ac:dyDescent="0.25">
      <c r="J181">
        <f t="shared" si="10"/>
        <v>0</v>
      </c>
      <c r="K181">
        <f t="shared" si="11"/>
        <v>0</v>
      </c>
      <c r="M181">
        <f t="shared" si="13"/>
        <v>0</v>
      </c>
      <c r="N181">
        <f t="shared" si="14"/>
        <v>0</v>
      </c>
      <c r="S181" t="str">
        <f t="shared" si="12"/>
        <v/>
      </c>
    </row>
    <row r="182" spans="10:19" x14ac:dyDescent="0.25">
      <c r="J182">
        <f t="shared" si="10"/>
        <v>0</v>
      </c>
      <c r="K182">
        <f t="shared" si="11"/>
        <v>0</v>
      </c>
      <c r="M182">
        <f t="shared" si="13"/>
        <v>0</v>
      </c>
      <c r="N182">
        <f t="shared" si="14"/>
        <v>0</v>
      </c>
      <c r="S182" t="str">
        <f t="shared" si="12"/>
        <v/>
      </c>
    </row>
    <row r="183" spans="10:19" x14ac:dyDescent="0.25">
      <c r="J183">
        <f t="shared" si="10"/>
        <v>0</v>
      </c>
      <c r="K183">
        <f t="shared" si="11"/>
        <v>0</v>
      </c>
      <c r="M183">
        <f t="shared" si="13"/>
        <v>0</v>
      </c>
      <c r="N183">
        <f t="shared" si="14"/>
        <v>0</v>
      </c>
      <c r="S183" t="str">
        <f t="shared" si="12"/>
        <v/>
      </c>
    </row>
    <row r="184" spans="10:19" x14ac:dyDescent="0.25">
      <c r="J184">
        <f t="shared" si="10"/>
        <v>0</v>
      </c>
      <c r="K184">
        <f t="shared" si="11"/>
        <v>0</v>
      </c>
      <c r="M184">
        <f t="shared" si="13"/>
        <v>0</v>
      </c>
      <c r="N184">
        <f t="shared" si="14"/>
        <v>0</v>
      </c>
      <c r="S184" t="str">
        <f t="shared" si="12"/>
        <v/>
      </c>
    </row>
    <row r="185" spans="10:19" x14ac:dyDescent="0.25">
      <c r="J185">
        <f t="shared" si="10"/>
        <v>0</v>
      </c>
      <c r="K185">
        <f t="shared" si="11"/>
        <v>0</v>
      </c>
      <c r="M185">
        <f t="shared" si="13"/>
        <v>0</v>
      </c>
      <c r="N185">
        <f t="shared" si="14"/>
        <v>0</v>
      </c>
      <c r="S185" t="str">
        <f t="shared" si="12"/>
        <v/>
      </c>
    </row>
    <row r="186" spans="10:19" x14ac:dyDescent="0.25">
      <c r="J186">
        <f t="shared" si="10"/>
        <v>0</v>
      </c>
      <c r="K186">
        <f t="shared" si="11"/>
        <v>0</v>
      </c>
      <c r="M186">
        <f t="shared" si="13"/>
        <v>0</v>
      </c>
      <c r="N186">
        <f t="shared" si="14"/>
        <v>0</v>
      </c>
      <c r="S186" t="str">
        <f t="shared" si="12"/>
        <v/>
      </c>
    </row>
    <row r="187" spans="10:19" x14ac:dyDescent="0.25">
      <c r="J187">
        <f t="shared" si="10"/>
        <v>0</v>
      </c>
      <c r="K187">
        <f t="shared" si="11"/>
        <v>0</v>
      </c>
      <c r="M187">
        <f t="shared" si="13"/>
        <v>0</v>
      </c>
      <c r="N187">
        <f t="shared" si="14"/>
        <v>0</v>
      </c>
      <c r="S187" t="str">
        <f t="shared" si="12"/>
        <v/>
      </c>
    </row>
    <row r="188" spans="10:19" x14ac:dyDescent="0.25">
      <c r="J188">
        <f t="shared" si="10"/>
        <v>0</v>
      </c>
      <c r="K188">
        <f t="shared" si="11"/>
        <v>0</v>
      </c>
      <c r="M188">
        <f t="shared" si="13"/>
        <v>0</v>
      </c>
      <c r="N188">
        <f t="shared" si="14"/>
        <v>0</v>
      </c>
      <c r="S188" t="str">
        <f t="shared" si="12"/>
        <v/>
      </c>
    </row>
    <row r="189" spans="10:19" x14ac:dyDescent="0.25">
      <c r="J189">
        <f t="shared" si="10"/>
        <v>0</v>
      </c>
      <c r="K189">
        <f t="shared" si="11"/>
        <v>0</v>
      </c>
      <c r="M189">
        <f t="shared" si="13"/>
        <v>0</v>
      </c>
      <c r="N189">
        <f t="shared" si="14"/>
        <v>0</v>
      </c>
      <c r="S189" t="str">
        <f t="shared" si="12"/>
        <v/>
      </c>
    </row>
    <row r="190" spans="10:19" x14ac:dyDescent="0.25">
      <c r="J190">
        <f t="shared" si="10"/>
        <v>0</v>
      </c>
      <c r="K190">
        <f t="shared" si="11"/>
        <v>0</v>
      </c>
      <c r="M190">
        <f t="shared" si="13"/>
        <v>0</v>
      </c>
      <c r="N190">
        <f t="shared" si="14"/>
        <v>0</v>
      </c>
      <c r="S190" t="str">
        <f t="shared" si="12"/>
        <v/>
      </c>
    </row>
    <row r="191" spans="10:19" x14ac:dyDescent="0.25">
      <c r="J191">
        <f t="shared" si="10"/>
        <v>0</v>
      </c>
      <c r="K191">
        <f t="shared" si="11"/>
        <v>0</v>
      </c>
      <c r="M191">
        <f t="shared" si="13"/>
        <v>0</v>
      </c>
      <c r="N191">
        <f t="shared" si="14"/>
        <v>0</v>
      </c>
      <c r="S191" t="str">
        <f t="shared" si="12"/>
        <v/>
      </c>
    </row>
    <row r="192" spans="10:19" x14ac:dyDescent="0.25">
      <c r="J192">
        <f t="shared" si="10"/>
        <v>0</v>
      </c>
      <c r="K192">
        <f t="shared" si="11"/>
        <v>0</v>
      </c>
      <c r="M192">
        <f t="shared" si="13"/>
        <v>0</v>
      </c>
      <c r="N192">
        <f t="shared" si="14"/>
        <v>0</v>
      </c>
      <c r="S192" t="str">
        <f t="shared" si="12"/>
        <v/>
      </c>
    </row>
    <row r="193" spans="10:19" x14ac:dyDescent="0.25">
      <c r="J193">
        <f t="shared" si="10"/>
        <v>0</v>
      </c>
      <c r="K193">
        <f t="shared" si="11"/>
        <v>0</v>
      </c>
      <c r="M193">
        <f t="shared" si="13"/>
        <v>0</v>
      </c>
      <c r="N193">
        <f t="shared" si="14"/>
        <v>0</v>
      </c>
      <c r="S193" t="str">
        <f t="shared" si="12"/>
        <v/>
      </c>
    </row>
    <row r="194" spans="10:19" x14ac:dyDescent="0.25">
      <c r="J194">
        <f t="shared" si="10"/>
        <v>0</v>
      </c>
      <c r="K194">
        <f t="shared" si="11"/>
        <v>0</v>
      </c>
      <c r="M194">
        <f t="shared" si="13"/>
        <v>0</v>
      </c>
      <c r="N194">
        <f t="shared" si="14"/>
        <v>0</v>
      </c>
      <c r="S194" t="str">
        <f t="shared" si="12"/>
        <v/>
      </c>
    </row>
    <row r="195" spans="10:19" x14ac:dyDescent="0.25">
      <c r="J195">
        <f t="shared" ref="J195:J250" si="15">C195</f>
        <v>0</v>
      </c>
      <c r="K195">
        <f t="shared" si="11"/>
        <v>0</v>
      </c>
      <c r="M195">
        <f t="shared" si="13"/>
        <v>0</v>
      </c>
      <c r="N195">
        <f t="shared" si="14"/>
        <v>0</v>
      </c>
      <c r="S195" t="str">
        <f t="shared" si="12"/>
        <v/>
      </c>
    </row>
    <row r="196" spans="10:19" x14ac:dyDescent="0.25">
      <c r="J196">
        <f t="shared" si="15"/>
        <v>0</v>
      </c>
      <c r="K196">
        <f t="shared" ref="K196:K250" si="16">ROUNDDOWN(F196*$I$2*1/1000,0)</f>
        <v>0</v>
      </c>
      <c r="M196">
        <f t="shared" si="13"/>
        <v>0</v>
      </c>
      <c r="N196">
        <f t="shared" si="14"/>
        <v>0</v>
      </c>
      <c r="S196" t="str">
        <f t="shared" ref="S196:S259" si="17">IF(AND(Q196&lt;&gt;"",R196&lt;&gt;""),Q196-R196,"")</f>
        <v/>
      </c>
    </row>
    <row r="197" spans="10:19" x14ac:dyDescent="0.25">
      <c r="J197">
        <f t="shared" si="15"/>
        <v>0</v>
      </c>
      <c r="K197">
        <f t="shared" si="16"/>
        <v>0</v>
      </c>
      <c r="M197">
        <f t="shared" ref="M197:M207" si="18">J197-J196</f>
        <v>0</v>
      </c>
      <c r="N197">
        <f t="shared" ref="N197:N207" si="19">K197-K196</f>
        <v>0</v>
      </c>
      <c r="S197" t="str">
        <f t="shared" si="17"/>
        <v/>
      </c>
    </row>
    <row r="198" spans="10:19" x14ac:dyDescent="0.25">
      <c r="J198">
        <f t="shared" si="15"/>
        <v>0</v>
      </c>
      <c r="K198">
        <f t="shared" si="16"/>
        <v>0</v>
      </c>
      <c r="M198">
        <f t="shared" si="18"/>
        <v>0</v>
      </c>
      <c r="N198">
        <f t="shared" si="19"/>
        <v>0</v>
      </c>
      <c r="S198" t="str">
        <f t="shared" si="17"/>
        <v/>
      </c>
    </row>
    <row r="199" spans="10:19" x14ac:dyDescent="0.25">
      <c r="J199">
        <f t="shared" si="15"/>
        <v>0</v>
      </c>
      <c r="K199">
        <f t="shared" si="16"/>
        <v>0</v>
      </c>
      <c r="M199">
        <f t="shared" si="18"/>
        <v>0</v>
      </c>
      <c r="N199">
        <f t="shared" si="19"/>
        <v>0</v>
      </c>
      <c r="S199" t="str">
        <f t="shared" si="17"/>
        <v/>
      </c>
    </row>
    <row r="200" spans="10:19" x14ac:dyDescent="0.25">
      <c r="J200">
        <f t="shared" si="15"/>
        <v>0</v>
      </c>
      <c r="K200">
        <f t="shared" si="16"/>
        <v>0</v>
      </c>
      <c r="M200">
        <f t="shared" si="18"/>
        <v>0</v>
      </c>
      <c r="N200">
        <f t="shared" si="19"/>
        <v>0</v>
      </c>
      <c r="S200" t="str">
        <f t="shared" si="17"/>
        <v/>
      </c>
    </row>
    <row r="201" spans="10:19" x14ac:dyDescent="0.25">
      <c r="J201">
        <f t="shared" si="15"/>
        <v>0</v>
      </c>
      <c r="K201">
        <f t="shared" si="16"/>
        <v>0</v>
      </c>
      <c r="M201">
        <f t="shared" si="18"/>
        <v>0</v>
      </c>
      <c r="N201">
        <f t="shared" si="19"/>
        <v>0</v>
      </c>
      <c r="S201" t="str">
        <f t="shared" si="17"/>
        <v/>
      </c>
    </row>
    <row r="202" spans="10:19" x14ac:dyDescent="0.25">
      <c r="J202">
        <f t="shared" si="15"/>
        <v>0</v>
      </c>
      <c r="K202">
        <f t="shared" si="16"/>
        <v>0</v>
      </c>
      <c r="M202">
        <f t="shared" si="18"/>
        <v>0</v>
      </c>
      <c r="N202">
        <f t="shared" si="19"/>
        <v>0</v>
      </c>
      <c r="S202" t="str">
        <f t="shared" si="17"/>
        <v/>
      </c>
    </row>
    <row r="203" spans="10:19" x14ac:dyDescent="0.25">
      <c r="J203">
        <f t="shared" si="15"/>
        <v>0</v>
      </c>
      <c r="K203">
        <f t="shared" si="16"/>
        <v>0</v>
      </c>
      <c r="M203">
        <f t="shared" si="18"/>
        <v>0</v>
      </c>
      <c r="N203">
        <f t="shared" si="19"/>
        <v>0</v>
      </c>
      <c r="S203" t="str">
        <f t="shared" si="17"/>
        <v/>
      </c>
    </row>
    <row r="204" spans="10:19" x14ac:dyDescent="0.25">
      <c r="J204">
        <f t="shared" si="15"/>
        <v>0</v>
      </c>
      <c r="K204">
        <f t="shared" si="16"/>
        <v>0</v>
      </c>
      <c r="M204">
        <f t="shared" si="18"/>
        <v>0</v>
      </c>
      <c r="N204">
        <f t="shared" si="19"/>
        <v>0</v>
      </c>
      <c r="S204" t="str">
        <f t="shared" si="17"/>
        <v/>
      </c>
    </row>
    <row r="205" spans="10:19" x14ac:dyDescent="0.25">
      <c r="J205">
        <f t="shared" si="15"/>
        <v>0</v>
      </c>
      <c r="K205">
        <f t="shared" si="16"/>
        <v>0</v>
      </c>
      <c r="M205">
        <f t="shared" si="18"/>
        <v>0</v>
      </c>
      <c r="N205">
        <f t="shared" si="19"/>
        <v>0</v>
      </c>
      <c r="S205" t="str">
        <f t="shared" si="17"/>
        <v/>
      </c>
    </row>
    <row r="206" spans="10:19" x14ac:dyDescent="0.25">
      <c r="J206">
        <f t="shared" si="15"/>
        <v>0</v>
      </c>
      <c r="K206">
        <f t="shared" si="16"/>
        <v>0</v>
      </c>
      <c r="M206">
        <f t="shared" si="18"/>
        <v>0</v>
      </c>
      <c r="N206">
        <f t="shared" si="19"/>
        <v>0</v>
      </c>
      <c r="S206" t="str">
        <f t="shared" si="17"/>
        <v/>
      </c>
    </row>
    <row r="207" spans="10:19" x14ac:dyDescent="0.25">
      <c r="J207">
        <f t="shared" si="15"/>
        <v>0</v>
      </c>
      <c r="K207">
        <f t="shared" si="16"/>
        <v>0</v>
      </c>
      <c r="M207">
        <f t="shared" si="18"/>
        <v>0</v>
      </c>
      <c r="N207">
        <f t="shared" si="19"/>
        <v>0</v>
      </c>
      <c r="S207" t="str">
        <f t="shared" si="17"/>
        <v/>
      </c>
    </row>
    <row r="208" spans="10:19" x14ac:dyDescent="0.25">
      <c r="J208">
        <f t="shared" si="15"/>
        <v>0</v>
      </c>
      <c r="K208">
        <f t="shared" si="16"/>
        <v>0</v>
      </c>
      <c r="M208">
        <f t="shared" ref="M208:M235" si="20">J208-J207</f>
        <v>0</v>
      </c>
      <c r="N208">
        <f t="shared" ref="N208:N235" si="21">K208-K207</f>
        <v>0</v>
      </c>
      <c r="S208" t="str">
        <f t="shared" si="17"/>
        <v/>
      </c>
    </row>
    <row r="209" spans="10:19" x14ac:dyDescent="0.25">
      <c r="J209">
        <f t="shared" si="15"/>
        <v>0</v>
      </c>
      <c r="K209">
        <f t="shared" si="16"/>
        <v>0</v>
      </c>
      <c r="M209">
        <f t="shared" si="20"/>
        <v>0</v>
      </c>
      <c r="N209">
        <f t="shared" si="21"/>
        <v>0</v>
      </c>
      <c r="S209" t="str">
        <f t="shared" si="17"/>
        <v/>
      </c>
    </row>
    <row r="210" spans="10:19" x14ac:dyDescent="0.25">
      <c r="J210">
        <f t="shared" si="15"/>
        <v>0</v>
      </c>
      <c r="K210">
        <f t="shared" si="16"/>
        <v>0</v>
      </c>
      <c r="M210">
        <f t="shared" si="20"/>
        <v>0</v>
      </c>
      <c r="N210">
        <f t="shared" si="21"/>
        <v>0</v>
      </c>
      <c r="S210" t="str">
        <f t="shared" si="17"/>
        <v/>
      </c>
    </row>
    <row r="211" spans="10:19" x14ac:dyDescent="0.25">
      <c r="J211">
        <f t="shared" si="15"/>
        <v>0</v>
      </c>
      <c r="K211">
        <f t="shared" si="16"/>
        <v>0</v>
      </c>
      <c r="M211">
        <f t="shared" si="20"/>
        <v>0</v>
      </c>
      <c r="N211">
        <f t="shared" si="21"/>
        <v>0</v>
      </c>
      <c r="S211" t="str">
        <f t="shared" si="17"/>
        <v/>
      </c>
    </row>
    <row r="212" spans="10:19" x14ac:dyDescent="0.25">
      <c r="J212">
        <f t="shared" si="15"/>
        <v>0</v>
      </c>
      <c r="K212">
        <f t="shared" si="16"/>
        <v>0</v>
      </c>
      <c r="M212">
        <f t="shared" si="20"/>
        <v>0</v>
      </c>
      <c r="N212">
        <f t="shared" si="21"/>
        <v>0</v>
      </c>
      <c r="S212" t="str">
        <f t="shared" si="17"/>
        <v/>
      </c>
    </row>
    <row r="213" spans="10:19" x14ac:dyDescent="0.25">
      <c r="J213">
        <f t="shared" si="15"/>
        <v>0</v>
      </c>
      <c r="K213">
        <f t="shared" si="16"/>
        <v>0</v>
      </c>
      <c r="M213">
        <f t="shared" si="20"/>
        <v>0</v>
      </c>
      <c r="N213">
        <f t="shared" si="21"/>
        <v>0</v>
      </c>
      <c r="S213" t="str">
        <f t="shared" si="17"/>
        <v/>
      </c>
    </row>
    <row r="214" spans="10:19" x14ac:dyDescent="0.25">
      <c r="J214">
        <f t="shared" si="15"/>
        <v>0</v>
      </c>
      <c r="K214">
        <f t="shared" si="16"/>
        <v>0</v>
      </c>
      <c r="M214">
        <f t="shared" si="20"/>
        <v>0</v>
      </c>
      <c r="N214">
        <f t="shared" si="21"/>
        <v>0</v>
      </c>
      <c r="S214" t="str">
        <f t="shared" si="17"/>
        <v/>
      </c>
    </row>
    <row r="215" spans="10:19" x14ac:dyDescent="0.25">
      <c r="J215">
        <f t="shared" si="15"/>
        <v>0</v>
      </c>
      <c r="K215">
        <f t="shared" si="16"/>
        <v>0</v>
      </c>
      <c r="M215">
        <f t="shared" si="20"/>
        <v>0</v>
      </c>
      <c r="N215">
        <f t="shared" si="21"/>
        <v>0</v>
      </c>
      <c r="S215" t="str">
        <f t="shared" si="17"/>
        <v/>
      </c>
    </row>
    <row r="216" spans="10:19" x14ac:dyDescent="0.25">
      <c r="J216">
        <f t="shared" si="15"/>
        <v>0</v>
      </c>
      <c r="K216">
        <f t="shared" si="16"/>
        <v>0</v>
      </c>
      <c r="M216">
        <f t="shared" si="20"/>
        <v>0</v>
      </c>
      <c r="N216">
        <f t="shared" si="21"/>
        <v>0</v>
      </c>
      <c r="S216" t="str">
        <f t="shared" si="17"/>
        <v/>
      </c>
    </row>
    <row r="217" spans="10:19" x14ac:dyDescent="0.25">
      <c r="J217">
        <f t="shared" si="15"/>
        <v>0</v>
      </c>
      <c r="K217">
        <f t="shared" si="16"/>
        <v>0</v>
      </c>
      <c r="M217">
        <f t="shared" si="20"/>
        <v>0</v>
      </c>
      <c r="N217">
        <f t="shared" si="21"/>
        <v>0</v>
      </c>
      <c r="S217" t="str">
        <f t="shared" si="17"/>
        <v/>
      </c>
    </row>
    <row r="218" spans="10:19" x14ac:dyDescent="0.25">
      <c r="J218">
        <f t="shared" si="15"/>
        <v>0</v>
      </c>
      <c r="K218">
        <f t="shared" si="16"/>
        <v>0</v>
      </c>
      <c r="M218">
        <f t="shared" si="20"/>
        <v>0</v>
      </c>
      <c r="N218">
        <f t="shared" si="21"/>
        <v>0</v>
      </c>
      <c r="S218" t="str">
        <f t="shared" si="17"/>
        <v/>
      </c>
    </row>
    <row r="219" spans="10:19" x14ac:dyDescent="0.25">
      <c r="J219">
        <f t="shared" si="15"/>
        <v>0</v>
      </c>
      <c r="K219">
        <f t="shared" si="16"/>
        <v>0</v>
      </c>
      <c r="M219">
        <f t="shared" si="20"/>
        <v>0</v>
      </c>
      <c r="N219">
        <f t="shared" si="21"/>
        <v>0</v>
      </c>
      <c r="S219" t="str">
        <f t="shared" si="17"/>
        <v/>
      </c>
    </row>
    <row r="220" spans="10:19" x14ac:dyDescent="0.25">
      <c r="J220">
        <f t="shared" si="15"/>
        <v>0</v>
      </c>
      <c r="K220">
        <f t="shared" si="16"/>
        <v>0</v>
      </c>
      <c r="M220">
        <f t="shared" si="20"/>
        <v>0</v>
      </c>
      <c r="N220">
        <f t="shared" si="21"/>
        <v>0</v>
      </c>
      <c r="S220" t="str">
        <f t="shared" si="17"/>
        <v/>
      </c>
    </row>
    <row r="221" spans="10:19" x14ac:dyDescent="0.25">
      <c r="J221">
        <f t="shared" si="15"/>
        <v>0</v>
      </c>
      <c r="K221">
        <f t="shared" si="16"/>
        <v>0</v>
      </c>
      <c r="M221">
        <f t="shared" si="20"/>
        <v>0</v>
      </c>
      <c r="N221">
        <f t="shared" si="21"/>
        <v>0</v>
      </c>
      <c r="S221" t="str">
        <f t="shared" si="17"/>
        <v/>
      </c>
    </row>
    <row r="222" spans="10:19" x14ac:dyDescent="0.25">
      <c r="J222">
        <f t="shared" si="15"/>
        <v>0</v>
      </c>
      <c r="K222">
        <f t="shared" si="16"/>
        <v>0</v>
      </c>
      <c r="M222">
        <f t="shared" si="20"/>
        <v>0</v>
      </c>
      <c r="N222">
        <f t="shared" si="21"/>
        <v>0</v>
      </c>
      <c r="S222" t="str">
        <f t="shared" si="17"/>
        <v/>
      </c>
    </row>
    <row r="223" spans="10:19" x14ac:dyDescent="0.25">
      <c r="J223">
        <f t="shared" si="15"/>
        <v>0</v>
      </c>
      <c r="K223">
        <f t="shared" si="16"/>
        <v>0</v>
      </c>
      <c r="M223">
        <f t="shared" si="20"/>
        <v>0</v>
      </c>
      <c r="N223">
        <f t="shared" si="21"/>
        <v>0</v>
      </c>
      <c r="S223" t="str">
        <f t="shared" si="17"/>
        <v/>
      </c>
    </row>
    <row r="224" spans="10:19" x14ac:dyDescent="0.25">
      <c r="J224">
        <f t="shared" si="15"/>
        <v>0</v>
      </c>
      <c r="K224">
        <f t="shared" si="16"/>
        <v>0</v>
      </c>
      <c r="M224">
        <f t="shared" si="20"/>
        <v>0</v>
      </c>
      <c r="N224">
        <f t="shared" si="21"/>
        <v>0</v>
      </c>
      <c r="S224" t="str">
        <f t="shared" si="17"/>
        <v/>
      </c>
    </row>
    <row r="225" spans="10:19" x14ac:dyDescent="0.25">
      <c r="J225">
        <f t="shared" si="15"/>
        <v>0</v>
      </c>
      <c r="K225">
        <f t="shared" si="16"/>
        <v>0</v>
      </c>
      <c r="M225">
        <f t="shared" si="20"/>
        <v>0</v>
      </c>
      <c r="N225">
        <f t="shared" si="21"/>
        <v>0</v>
      </c>
      <c r="S225" t="str">
        <f t="shared" si="17"/>
        <v/>
      </c>
    </row>
    <row r="226" spans="10:19" x14ac:dyDescent="0.25">
      <c r="J226">
        <f t="shared" si="15"/>
        <v>0</v>
      </c>
      <c r="K226">
        <f t="shared" si="16"/>
        <v>0</v>
      </c>
      <c r="M226">
        <f t="shared" si="20"/>
        <v>0</v>
      </c>
      <c r="N226">
        <f t="shared" si="21"/>
        <v>0</v>
      </c>
      <c r="S226" t="str">
        <f t="shared" si="17"/>
        <v/>
      </c>
    </row>
    <row r="227" spans="10:19" x14ac:dyDescent="0.25">
      <c r="J227">
        <f t="shared" si="15"/>
        <v>0</v>
      </c>
      <c r="K227">
        <f t="shared" si="16"/>
        <v>0</v>
      </c>
      <c r="M227">
        <f t="shared" si="20"/>
        <v>0</v>
      </c>
      <c r="N227">
        <f t="shared" si="21"/>
        <v>0</v>
      </c>
      <c r="S227" t="str">
        <f t="shared" si="17"/>
        <v/>
      </c>
    </row>
    <row r="228" spans="10:19" x14ac:dyDescent="0.25">
      <c r="J228">
        <f t="shared" si="15"/>
        <v>0</v>
      </c>
      <c r="K228">
        <f t="shared" si="16"/>
        <v>0</v>
      </c>
      <c r="M228">
        <f t="shared" si="20"/>
        <v>0</v>
      </c>
      <c r="N228">
        <f t="shared" si="21"/>
        <v>0</v>
      </c>
      <c r="S228" t="str">
        <f t="shared" si="17"/>
        <v/>
      </c>
    </row>
    <row r="229" spans="10:19" x14ac:dyDescent="0.25">
      <c r="J229">
        <f t="shared" si="15"/>
        <v>0</v>
      </c>
      <c r="K229">
        <f t="shared" si="16"/>
        <v>0</v>
      </c>
      <c r="M229">
        <f t="shared" si="20"/>
        <v>0</v>
      </c>
      <c r="N229">
        <f t="shared" si="21"/>
        <v>0</v>
      </c>
      <c r="S229" t="str">
        <f t="shared" si="17"/>
        <v/>
      </c>
    </row>
    <row r="230" spans="10:19" x14ac:dyDescent="0.25">
      <c r="J230">
        <f t="shared" si="15"/>
        <v>0</v>
      </c>
      <c r="K230">
        <f t="shared" si="16"/>
        <v>0</v>
      </c>
      <c r="M230">
        <f t="shared" si="20"/>
        <v>0</v>
      </c>
      <c r="N230">
        <f t="shared" si="21"/>
        <v>0</v>
      </c>
      <c r="S230" t="str">
        <f t="shared" si="17"/>
        <v/>
      </c>
    </row>
    <row r="231" spans="10:19" x14ac:dyDescent="0.25">
      <c r="J231">
        <f t="shared" si="15"/>
        <v>0</v>
      </c>
      <c r="K231">
        <f t="shared" si="16"/>
        <v>0</v>
      </c>
      <c r="M231">
        <f t="shared" si="20"/>
        <v>0</v>
      </c>
      <c r="N231">
        <f t="shared" si="21"/>
        <v>0</v>
      </c>
      <c r="S231" t="str">
        <f t="shared" si="17"/>
        <v/>
      </c>
    </row>
    <row r="232" spans="10:19" x14ac:dyDescent="0.25">
      <c r="J232">
        <f t="shared" si="15"/>
        <v>0</v>
      </c>
      <c r="K232">
        <f t="shared" si="16"/>
        <v>0</v>
      </c>
      <c r="M232">
        <f t="shared" si="20"/>
        <v>0</v>
      </c>
      <c r="N232">
        <f t="shared" si="21"/>
        <v>0</v>
      </c>
      <c r="S232" t="str">
        <f t="shared" si="17"/>
        <v/>
      </c>
    </row>
    <row r="233" spans="10:19" x14ac:dyDescent="0.25">
      <c r="J233">
        <f t="shared" si="15"/>
        <v>0</v>
      </c>
      <c r="K233">
        <f t="shared" si="16"/>
        <v>0</v>
      </c>
      <c r="M233">
        <f t="shared" si="20"/>
        <v>0</v>
      </c>
      <c r="N233">
        <f t="shared" si="21"/>
        <v>0</v>
      </c>
      <c r="S233" t="str">
        <f t="shared" si="17"/>
        <v/>
      </c>
    </row>
    <row r="234" spans="10:19" x14ac:dyDescent="0.25">
      <c r="J234">
        <f t="shared" si="15"/>
        <v>0</v>
      </c>
      <c r="K234">
        <f t="shared" si="16"/>
        <v>0</v>
      </c>
      <c r="M234">
        <f t="shared" si="20"/>
        <v>0</v>
      </c>
      <c r="N234">
        <f t="shared" si="21"/>
        <v>0</v>
      </c>
      <c r="S234" t="str">
        <f t="shared" si="17"/>
        <v/>
      </c>
    </row>
    <row r="235" spans="10:19" x14ac:dyDescent="0.25">
      <c r="J235">
        <f t="shared" si="15"/>
        <v>0</v>
      </c>
      <c r="K235">
        <f t="shared" si="16"/>
        <v>0</v>
      </c>
      <c r="M235">
        <f t="shared" si="20"/>
        <v>0</v>
      </c>
      <c r="N235">
        <f t="shared" si="21"/>
        <v>0</v>
      </c>
      <c r="S235" t="str">
        <f t="shared" si="17"/>
        <v/>
      </c>
    </row>
    <row r="236" spans="10:19" x14ac:dyDescent="0.25">
      <c r="J236">
        <f t="shared" si="15"/>
        <v>0</v>
      </c>
      <c r="K236">
        <f t="shared" si="16"/>
        <v>0</v>
      </c>
      <c r="M236">
        <f t="shared" ref="M236:M250" si="22">J236-J235</f>
        <v>0</v>
      </c>
      <c r="N236">
        <f t="shared" ref="N236:N250" si="23">K236-K235</f>
        <v>0</v>
      </c>
      <c r="S236" t="str">
        <f t="shared" si="17"/>
        <v/>
      </c>
    </row>
    <row r="237" spans="10:19" x14ac:dyDescent="0.25">
      <c r="J237">
        <f t="shared" si="15"/>
        <v>0</v>
      </c>
      <c r="K237">
        <f t="shared" si="16"/>
        <v>0</v>
      </c>
      <c r="M237">
        <f t="shared" si="22"/>
        <v>0</v>
      </c>
      <c r="N237">
        <f t="shared" si="23"/>
        <v>0</v>
      </c>
      <c r="S237" t="str">
        <f t="shared" si="17"/>
        <v/>
      </c>
    </row>
    <row r="238" spans="10:19" x14ac:dyDescent="0.25">
      <c r="J238">
        <f t="shared" si="15"/>
        <v>0</v>
      </c>
      <c r="K238">
        <f t="shared" si="16"/>
        <v>0</v>
      </c>
      <c r="M238">
        <f t="shared" si="22"/>
        <v>0</v>
      </c>
      <c r="N238">
        <f t="shared" si="23"/>
        <v>0</v>
      </c>
      <c r="S238" t="str">
        <f t="shared" si="17"/>
        <v/>
      </c>
    </row>
    <row r="239" spans="10:19" x14ac:dyDescent="0.25">
      <c r="J239">
        <f t="shared" si="15"/>
        <v>0</v>
      </c>
      <c r="K239">
        <f t="shared" si="16"/>
        <v>0</v>
      </c>
      <c r="M239">
        <f t="shared" si="22"/>
        <v>0</v>
      </c>
      <c r="N239">
        <f t="shared" si="23"/>
        <v>0</v>
      </c>
      <c r="S239" t="str">
        <f t="shared" si="17"/>
        <v/>
      </c>
    </row>
    <row r="240" spans="10:19" x14ac:dyDescent="0.25">
      <c r="J240">
        <f t="shared" si="15"/>
        <v>0</v>
      </c>
      <c r="K240">
        <f t="shared" si="16"/>
        <v>0</v>
      </c>
      <c r="M240">
        <f t="shared" si="22"/>
        <v>0</v>
      </c>
      <c r="N240">
        <f t="shared" si="23"/>
        <v>0</v>
      </c>
      <c r="S240" t="str">
        <f t="shared" si="17"/>
        <v/>
      </c>
    </row>
    <row r="241" spans="10:19" x14ac:dyDescent="0.25">
      <c r="J241">
        <f t="shared" si="15"/>
        <v>0</v>
      </c>
      <c r="K241">
        <f t="shared" si="16"/>
        <v>0</v>
      </c>
      <c r="M241">
        <f t="shared" si="22"/>
        <v>0</v>
      </c>
      <c r="N241">
        <f t="shared" si="23"/>
        <v>0</v>
      </c>
      <c r="S241" t="str">
        <f t="shared" si="17"/>
        <v/>
      </c>
    </row>
    <row r="242" spans="10:19" x14ac:dyDescent="0.25">
      <c r="J242">
        <f t="shared" si="15"/>
        <v>0</v>
      </c>
      <c r="K242">
        <f t="shared" si="16"/>
        <v>0</v>
      </c>
      <c r="M242">
        <f t="shared" si="22"/>
        <v>0</v>
      </c>
      <c r="N242">
        <f t="shared" si="23"/>
        <v>0</v>
      </c>
      <c r="S242" t="str">
        <f t="shared" si="17"/>
        <v/>
      </c>
    </row>
    <row r="243" spans="10:19" x14ac:dyDescent="0.25">
      <c r="J243">
        <f t="shared" si="15"/>
        <v>0</v>
      </c>
      <c r="K243">
        <f t="shared" si="16"/>
        <v>0</v>
      </c>
      <c r="M243">
        <f t="shared" si="22"/>
        <v>0</v>
      </c>
      <c r="N243">
        <f t="shared" si="23"/>
        <v>0</v>
      </c>
      <c r="S243" t="str">
        <f t="shared" si="17"/>
        <v/>
      </c>
    </row>
    <row r="244" spans="10:19" x14ac:dyDescent="0.25">
      <c r="J244">
        <f t="shared" si="15"/>
        <v>0</v>
      </c>
      <c r="K244">
        <f t="shared" si="16"/>
        <v>0</v>
      </c>
      <c r="M244">
        <f t="shared" si="22"/>
        <v>0</v>
      </c>
      <c r="N244">
        <f t="shared" si="23"/>
        <v>0</v>
      </c>
      <c r="S244" t="str">
        <f t="shared" si="17"/>
        <v/>
      </c>
    </row>
    <row r="245" spans="10:19" x14ac:dyDescent="0.25">
      <c r="J245">
        <f t="shared" si="15"/>
        <v>0</v>
      </c>
      <c r="K245">
        <f t="shared" si="16"/>
        <v>0</v>
      </c>
      <c r="M245">
        <f t="shared" si="22"/>
        <v>0</v>
      </c>
      <c r="N245">
        <f t="shared" si="23"/>
        <v>0</v>
      </c>
      <c r="S245" t="str">
        <f t="shared" si="17"/>
        <v/>
      </c>
    </row>
    <row r="246" spans="10:19" x14ac:dyDescent="0.25">
      <c r="J246">
        <f t="shared" si="15"/>
        <v>0</v>
      </c>
      <c r="K246">
        <f t="shared" si="16"/>
        <v>0</v>
      </c>
      <c r="M246">
        <f t="shared" si="22"/>
        <v>0</v>
      </c>
      <c r="N246">
        <f t="shared" si="23"/>
        <v>0</v>
      </c>
      <c r="S246" t="str">
        <f t="shared" si="17"/>
        <v/>
      </c>
    </row>
    <row r="247" spans="10:19" x14ac:dyDescent="0.25">
      <c r="J247">
        <f t="shared" si="15"/>
        <v>0</v>
      </c>
      <c r="K247">
        <f t="shared" si="16"/>
        <v>0</v>
      </c>
      <c r="M247">
        <f t="shared" si="22"/>
        <v>0</v>
      </c>
      <c r="N247">
        <f t="shared" si="23"/>
        <v>0</v>
      </c>
      <c r="S247" t="str">
        <f t="shared" si="17"/>
        <v/>
      </c>
    </row>
    <row r="248" spans="10:19" x14ac:dyDescent="0.25">
      <c r="J248">
        <f t="shared" si="15"/>
        <v>0</v>
      </c>
      <c r="K248">
        <f t="shared" si="16"/>
        <v>0</v>
      </c>
      <c r="M248">
        <f t="shared" si="22"/>
        <v>0</v>
      </c>
      <c r="N248">
        <f t="shared" si="23"/>
        <v>0</v>
      </c>
      <c r="S248" t="str">
        <f t="shared" si="17"/>
        <v/>
      </c>
    </row>
    <row r="249" spans="10:19" x14ac:dyDescent="0.25">
      <c r="J249">
        <f t="shared" si="15"/>
        <v>0</v>
      </c>
      <c r="K249">
        <f t="shared" si="16"/>
        <v>0</v>
      </c>
      <c r="M249">
        <f t="shared" si="22"/>
        <v>0</v>
      </c>
      <c r="N249">
        <f t="shared" si="23"/>
        <v>0</v>
      </c>
      <c r="S249" t="str">
        <f t="shared" si="17"/>
        <v/>
      </c>
    </row>
    <row r="250" spans="10:19" x14ac:dyDescent="0.25">
      <c r="J250">
        <f t="shared" si="15"/>
        <v>0</v>
      </c>
      <c r="K250">
        <f t="shared" si="16"/>
        <v>0</v>
      </c>
      <c r="M250">
        <f t="shared" si="22"/>
        <v>0</v>
      </c>
      <c r="N250">
        <f t="shared" si="23"/>
        <v>0</v>
      </c>
      <c r="S250" t="str">
        <f t="shared" si="17"/>
        <v/>
      </c>
    </row>
    <row r="251" spans="10:19" x14ac:dyDescent="0.25">
      <c r="J251">
        <f t="shared" ref="J251:J260" si="24">C251</f>
        <v>0</v>
      </c>
      <c r="K251">
        <f t="shared" ref="K251:K260" si="25">ROUNDDOWN(F251*$I$2*1/1000,0)</f>
        <v>0</v>
      </c>
      <c r="M251">
        <f t="shared" ref="M251:M260" si="26">J251-J250</f>
        <v>0</v>
      </c>
      <c r="N251">
        <f t="shared" ref="N251:N260" si="27">K251-K250</f>
        <v>0</v>
      </c>
      <c r="S251" t="str">
        <f t="shared" si="17"/>
        <v/>
      </c>
    </row>
    <row r="252" spans="10:19" x14ac:dyDescent="0.25">
      <c r="J252">
        <f t="shared" si="24"/>
        <v>0</v>
      </c>
      <c r="K252">
        <f t="shared" si="25"/>
        <v>0</v>
      </c>
      <c r="M252">
        <f t="shared" si="26"/>
        <v>0</v>
      </c>
      <c r="N252">
        <f t="shared" si="27"/>
        <v>0</v>
      </c>
      <c r="S252" t="str">
        <f t="shared" si="17"/>
        <v/>
      </c>
    </row>
    <row r="253" spans="10:19" x14ac:dyDescent="0.25">
      <c r="J253">
        <f t="shared" si="24"/>
        <v>0</v>
      </c>
      <c r="K253">
        <f t="shared" si="25"/>
        <v>0</v>
      </c>
      <c r="M253">
        <f t="shared" si="26"/>
        <v>0</v>
      </c>
      <c r="N253">
        <f t="shared" si="27"/>
        <v>0</v>
      </c>
      <c r="S253" t="str">
        <f t="shared" si="17"/>
        <v/>
      </c>
    </row>
    <row r="254" spans="10:19" x14ac:dyDescent="0.25">
      <c r="J254">
        <f t="shared" si="24"/>
        <v>0</v>
      </c>
      <c r="K254">
        <f t="shared" si="25"/>
        <v>0</v>
      </c>
      <c r="M254">
        <f t="shared" si="26"/>
        <v>0</v>
      </c>
      <c r="N254">
        <f t="shared" si="27"/>
        <v>0</v>
      </c>
      <c r="S254" t="str">
        <f t="shared" si="17"/>
        <v/>
      </c>
    </row>
    <row r="255" spans="10:19" x14ac:dyDescent="0.25">
      <c r="J255">
        <f t="shared" si="24"/>
        <v>0</v>
      </c>
      <c r="K255">
        <f t="shared" si="25"/>
        <v>0</v>
      </c>
      <c r="M255">
        <f t="shared" si="26"/>
        <v>0</v>
      </c>
      <c r="N255">
        <f t="shared" si="27"/>
        <v>0</v>
      </c>
      <c r="S255" t="str">
        <f t="shared" si="17"/>
        <v/>
      </c>
    </row>
    <row r="256" spans="10:19" x14ac:dyDescent="0.25">
      <c r="J256">
        <f t="shared" si="24"/>
        <v>0</v>
      </c>
      <c r="K256">
        <f t="shared" si="25"/>
        <v>0</v>
      </c>
      <c r="M256">
        <f t="shared" si="26"/>
        <v>0</v>
      </c>
      <c r="N256">
        <f t="shared" si="27"/>
        <v>0</v>
      </c>
      <c r="S256" t="str">
        <f t="shared" si="17"/>
        <v/>
      </c>
    </row>
    <row r="257" spans="10:19" x14ac:dyDescent="0.25">
      <c r="J257">
        <f t="shared" si="24"/>
        <v>0</v>
      </c>
      <c r="K257">
        <f t="shared" si="25"/>
        <v>0</v>
      </c>
      <c r="M257">
        <f t="shared" si="26"/>
        <v>0</v>
      </c>
      <c r="N257">
        <f t="shared" si="27"/>
        <v>0</v>
      </c>
      <c r="S257" t="str">
        <f t="shared" si="17"/>
        <v/>
      </c>
    </row>
    <row r="258" spans="10:19" x14ac:dyDescent="0.25">
      <c r="J258">
        <f t="shared" si="24"/>
        <v>0</v>
      </c>
      <c r="K258">
        <f t="shared" si="25"/>
        <v>0</v>
      </c>
      <c r="M258">
        <f t="shared" si="26"/>
        <v>0</v>
      </c>
      <c r="N258">
        <f t="shared" si="27"/>
        <v>0</v>
      </c>
      <c r="S258" t="str">
        <f t="shared" si="17"/>
        <v/>
      </c>
    </row>
    <row r="259" spans="10:19" x14ac:dyDescent="0.25">
      <c r="J259">
        <f t="shared" si="24"/>
        <v>0</v>
      </c>
      <c r="K259">
        <f t="shared" si="25"/>
        <v>0</v>
      </c>
      <c r="M259">
        <f t="shared" si="26"/>
        <v>0</v>
      </c>
      <c r="N259">
        <f t="shared" si="27"/>
        <v>0</v>
      </c>
      <c r="S259" t="str">
        <f t="shared" si="17"/>
        <v/>
      </c>
    </row>
    <row r="260" spans="10:19" x14ac:dyDescent="0.25">
      <c r="J260">
        <f t="shared" si="24"/>
        <v>0</v>
      </c>
      <c r="K260">
        <f t="shared" si="25"/>
        <v>0</v>
      </c>
      <c r="M260">
        <f t="shared" si="26"/>
        <v>0</v>
      </c>
      <c r="N260">
        <f t="shared" si="27"/>
        <v>0</v>
      </c>
      <c r="S260" t="str">
        <f t="shared" ref="S260:S300" si="28">IF(AND(Q260&lt;&gt;"",R260&lt;&gt;""),Q260-R260,"")</f>
        <v/>
      </c>
    </row>
    <row r="261" spans="10:19" x14ac:dyDescent="0.25">
      <c r="J261">
        <f t="shared" ref="J261:J276" si="29">C261</f>
        <v>0</v>
      </c>
      <c r="K261">
        <f t="shared" ref="K261:K287" si="30">ROUNDDOWN(F261*$I$2*1/1000,0)</f>
        <v>0</v>
      </c>
      <c r="M261">
        <f t="shared" ref="M261:M287" si="31">J261-J260</f>
        <v>0</v>
      </c>
      <c r="N261">
        <f t="shared" ref="N261:N287" si="32">K261-K260</f>
        <v>0</v>
      </c>
      <c r="S261" t="str">
        <f t="shared" si="28"/>
        <v/>
      </c>
    </row>
    <row r="262" spans="10:19" x14ac:dyDescent="0.25">
      <c r="J262">
        <f t="shared" si="29"/>
        <v>0</v>
      </c>
      <c r="K262">
        <f t="shared" si="30"/>
        <v>0</v>
      </c>
      <c r="M262">
        <f t="shared" si="31"/>
        <v>0</v>
      </c>
      <c r="N262">
        <f t="shared" si="32"/>
        <v>0</v>
      </c>
      <c r="S262" t="str">
        <f t="shared" si="28"/>
        <v/>
      </c>
    </row>
    <row r="263" spans="10:19" x14ac:dyDescent="0.25">
      <c r="J263">
        <f t="shared" si="29"/>
        <v>0</v>
      </c>
      <c r="K263">
        <f t="shared" si="30"/>
        <v>0</v>
      </c>
      <c r="M263">
        <f t="shared" si="31"/>
        <v>0</v>
      </c>
      <c r="N263">
        <f t="shared" si="32"/>
        <v>0</v>
      </c>
      <c r="S263" t="str">
        <f t="shared" si="28"/>
        <v/>
      </c>
    </row>
    <row r="264" spans="10:19" x14ac:dyDescent="0.25">
      <c r="J264">
        <f t="shared" si="29"/>
        <v>0</v>
      </c>
      <c r="K264">
        <f t="shared" si="30"/>
        <v>0</v>
      </c>
      <c r="M264">
        <f t="shared" si="31"/>
        <v>0</v>
      </c>
      <c r="N264">
        <f t="shared" si="32"/>
        <v>0</v>
      </c>
      <c r="S264" t="str">
        <f t="shared" si="28"/>
        <v/>
      </c>
    </row>
    <row r="265" spans="10:19" x14ac:dyDescent="0.25">
      <c r="J265">
        <f t="shared" si="29"/>
        <v>0</v>
      </c>
      <c r="K265">
        <f t="shared" si="30"/>
        <v>0</v>
      </c>
      <c r="M265">
        <f t="shared" si="31"/>
        <v>0</v>
      </c>
      <c r="N265">
        <f t="shared" si="32"/>
        <v>0</v>
      </c>
      <c r="S265" t="str">
        <f t="shared" si="28"/>
        <v/>
      </c>
    </row>
    <row r="266" spans="10:19" x14ac:dyDescent="0.25">
      <c r="J266">
        <f t="shared" si="29"/>
        <v>0</v>
      </c>
      <c r="K266">
        <f t="shared" si="30"/>
        <v>0</v>
      </c>
      <c r="M266">
        <f t="shared" si="31"/>
        <v>0</v>
      </c>
      <c r="N266">
        <f t="shared" si="32"/>
        <v>0</v>
      </c>
      <c r="S266" t="str">
        <f t="shared" si="28"/>
        <v/>
      </c>
    </row>
    <row r="267" spans="10:19" x14ac:dyDescent="0.25">
      <c r="J267">
        <f t="shared" si="29"/>
        <v>0</v>
      </c>
      <c r="K267">
        <f t="shared" si="30"/>
        <v>0</v>
      </c>
      <c r="M267">
        <f t="shared" si="31"/>
        <v>0</v>
      </c>
      <c r="N267">
        <f t="shared" si="32"/>
        <v>0</v>
      </c>
      <c r="S267" t="str">
        <f t="shared" si="28"/>
        <v/>
      </c>
    </row>
    <row r="268" spans="10:19" x14ac:dyDescent="0.25">
      <c r="J268">
        <f t="shared" si="29"/>
        <v>0</v>
      </c>
      <c r="K268">
        <f t="shared" si="30"/>
        <v>0</v>
      </c>
      <c r="M268">
        <f t="shared" si="31"/>
        <v>0</v>
      </c>
      <c r="N268">
        <f t="shared" si="32"/>
        <v>0</v>
      </c>
      <c r="S268" t="str">
        <f t="shared" si="28"/>
        <v/>
      </c>
    </row>
    <row r="269" spans="10:19" x14ac:dyDescent="0.25">
      <c r="J269">
        <f t="shared" si="29"/>
        <v>0</v>
      </c>
      <c r="K269">
        <f t="shared" si="30"/>
        <v>0</v>
      </c>
      <c r="M269">
        <f t="shared" si="31"/>
        <v>0</v>
      </c>
      <c r="N269">
        <f t="shared" si="32"/>
        <v>0</v>
      </c>
      <c r="S269" t="str">
        <f t="shared" si="28"/>
        <v/>
      </c>
    </row>
    <row r="270" spans="10:19" x14ac:dyDescent="0.25">
      <c r="J270">
        <f t="shared" si="29"/>
        <v>0</v>
      </c>
      <c r="K270">
        <f t="shared" si="30"/>
        <v>0</v>
      </c>
      <c r="M270">
        <f t="shared" si="31"/>
        <v>0</v>
      </c>
      <c r="N270">
        <f t="shared" si="32"/>
        <v>0</v>
      </c>
      <c r="S270" t="str">
        <f t="shared" si="28"/>
        <v/>
      </c>
    </row>
    <row r="271" spans="10:19" x14ac:dyDescent="0.25">
      <c r="J271">
        <f t="shared" si="29"/>
        <v>0</v>
      </c>
      <c r="K271">
        <f t="shared" si="30"/>
        <v>0</v>
      </c>
      <c r="M271">
        <f t="shared" si="31"/>
        <v>0</v>
      </c>
      <c r="N271">
        <f t="shared" si="32"/>
        <v>0</v>
      </c>
      <c r="S271" t="str">
        <f t="shared" si="28"/>
        <v/>
      </c>
    </row>
    <row r="272" spans="10:19" x14ac:dyDescent="0.25">
      <c r="J272">
        <f t="shared" si="29"/>
        <v>0</v>
      </c>
      <c r="K272">
        <f t="shared" si="30"/>
        <v>0</v>
      </c>
      <c r="M272">
        <f t="shared" si="31"/>
        <v>0</v>
      </c>
      <c r="N272">
        <f t="shared" si="32"/>
        <v>0</v>
      </c>
      <c r="S272" t="str">
        <f t="shared" si="28"/>
        <v/>
      </c>
    </row>
    <row r="273" spans="10:19" x14ac:dyDescent="0.25">
      <c r="J273">
        <f t="shared" si="29"/>
        <v>0</v>
      </c>
      <c r="K273">
        <f t="shared" si="30"/>
        <v>0</v>
      </c>
      <c r="M273">
        <f t="shared" si="31"/>
        <v>0</v>
      </c>
      <c r="N273">
        <f t="shared" si="32"/>
        <v>0</v>
      </c>
      <c r="S273" t="str">
        <f t="shared" si="28"/>
        <v/>
      </c>
    </row>
    <row r="274" spans="10:19" x14ac:dyDescent="0.25">
      <c r="J274">
        <f t="shared" si="29"/>
        <v>0</v>
      </c>
      <c r="K274">
        <f t="shared" si="30"/>
        <v>0</v>
      </c>
      <c r="M274">
        <f t="shared" si="31"/>
        <v>0</v>
      </c>
      <c r="N274">
        <f t="shared" si="32"/>
        <v>0</v>
      </c>
      <c r="S274" t="str">
        <f t="shared" si="28"/>
        <v/>
      </c>
    </row>
    <row r="275" spans="10:19" x14ac:dyDescent="0.25">
      <c r="J275">
        <f t="shared" si="29"/>
        <v>0</v>
      </c>
      <c r="K275">
        <f t="shared" si="30"/>
        <v>0</v>
      </c>
      <c r="M275">
        <f t="shared" si="31"/>
        <v>0</v>
      </c>
      <c r="N275">
        <f t="shared" si="32"/>
        <v>0</v>
      </c>
      <c r="S275" t="str">
        <f t="shared" si="28"/>
        <v/>
      </c>
    </row>
    <row r="276" spans="10:19" x14ac:dyDescent="0.25">
      <c r="J276">
        <f t="shared" si="29"/>
        <v>0</v>
      </c>
      <c r="K276">
        <f t="shared" si="30"/>
        <v>0</v>
      </c>
      <c r="M276">
        <f t="shared" si="31"/>
        <v>0</v>
      </c>
      <c r="N276">
        <f t="shared" si="32"/>
        <v>0</v>
      </c>
      <c r="S276" t="str">
        <f t="shared" si="28"/>
        <v/>
      </c>
    </row>
    <row r="277" spans="10:19" x14ac:dyDescent="0.25">
      <c r="J277">
        <f>C277</f>
        <v>0</v>
      </c>
      <c r="K277">
        <f t="shared" si="30"/>
        <v>0</v>
      </c>
      <c r="M277">
        <f t="shared" si="31"/>
        <v>0</v>
      </c>
      <c r="N277">
        <f t="shared" si="32"/>
        <v>0</v>
      </c>
      <c r="S277" t="str">
        <f t="shared" si="28"/>
        <v/>
      </c>
    </row>
    <row r="278" spans="10:19" x14ac:dyDescent="0.25">
      <c r="J278">
        <f t="shared" ref="J278:J300" si="33">C278</f>
        <v>0</v>
      </c>
      <c r="K278">
        <f t="shared" si="30"/>
        <v>0</v>
      </c>
      <c r="M278">
        <f t="shared" si="31"/>
        <v>0</v>
      </c>
      <c r="N278">
        <f t="shared" si="32"/>
        <v>0</v>
      </c>
      <c r="S278" t="str">
        <f t="shared" si="28"/>
        <v/>
      </c>
    </row>
    <row r="279" spans="10:19" x14ac:dyDescent="0.25">
      <c r="J279">
        <f t="shared" si="33"/>
        <v>0</v>
      </c>
      <c r="K279">
        <f t="shared" si="30"/>
        <v>0</v>
      </c>
      <c r="M279">
        <f t="shared" si="31"/>
        <v>0</v>
      </c>
      <c r="N279">
        <f t="shared" si="32"/>
        <v>0</v>
      </c>
      <c r="S279" t="str">
        <f t="shared" si="28"/>
        <v/>
      </c>
    </row>
    <row r="280" spans="10:19" x14ac:dyDescent="0.25">
      <c r="J280">
        <f t="shared" si="33"/>
        <v>0</v>
      </c>
      <c r="K280">
        <f t="shared" si="30"/>
        <v>0</v>
      </c>
      <c r="M280">
        <f t="shared" si="31"/>
        <v>0</v>
      </c>
      <c r="N280">
        <f t="shared" si="32"/>
        <v>0</v>
      </c>
      <c r="S280" t="str">
        <f t="shared" si="28"/>
        <v/>
      </c>
    </row>
    <row r="281" spans="10:19" x14ac:dyDescent="0.25">
      <c r="J281">
        <f t="shared" si="33"/>
        <v>0</v>
      </c>
      <c r="K281">
        <f t="shared" si="30"/>
        <v>0</v>
      </c>
      <c r="M281">
        <f t="shared" si="31"/>
        <v>0</v>
      </c>
      <c r="N281">
        <f t="shared" si="32"/>
        <v>0</v>
      </c>
      <c r="S281" t="str">
        <f t="shared" si="28"/>
        <v/>
      </c>
    </row>
    <row r="282" spans="10:19" x14ac:dyDescent="0.25">
      <c r="J282">
        <f t="shared" si="33"/>
        <v>0</v>
      </c>
      <c r="K282">
        <f t="shared" si="30"/>
        <v>0</v>
      </c>
      <c r="M282">
        <f t="shared" si="31"/>
        <v>0</v>
      </c>
      <c r="N282">
        <f t="shared" si="32"/>
        <v>0</v>
      </c>
      <c r="S282" t="str">
        <f t="shared" si="28"/>
        <v/>
      </c>
    </row>
    <row r="283" spans="10:19" x14ac:dyDescent="0.25">
      <c r="J283">
        <f t="shared" si="33"/>
        <v>0</v>
      </c>
      <c r="K283">
        <f t="shared" si="30"/>
        <v>0</v>
      </c>
      <c r="M283">
        <f t="shared" si="31"/>
        <v>0</v>
      </c>
      <c r="N283">
        <f t="shared" si="32"/>
        <v>0</v>
      </c>
      <c r="S283" t="str">
        <f t="shared" si="28"/>
        <v/>
      </c>
    </row>
    <row r="284" spans="10:19" x14ac:dyDescent="0.25">
      <c r="J284">
        <f t="shared" si="33"/>
        <v>0</v>
      </c>
      <c r="K284">
        <f t="shared" si="30"/>
        <v>0</v>
      </c>
      <c r="M284">
        <f t="shared" si="31"/>
        <v>0</v>
      </c>
      <c r="N284">
        <f t="shared" si="32"/>
        <v>0</v>
      </c>
      <c r="S284" t="str">
        <f t="shared" si="28"/>
        <v/>
      </c>
    </row>
    <row r="285" spans="10:19" x14ac:dyDescent="0.25">
      <c r="J285">
        <f t="shared" si="33"/>
        <v>0</v>
      </c>
      <c r="K285">
        <f t="shared" si="30"/>
        <v>0</v>
      </c>
      <c r="M285">
        <f t="shared" si="31"/>
        <v>0</v>
      </c>
      <c r="N285">
        <f t="shared" si="32"/>
        <v>0</v>
      </c>
      <c r="S285" t="str">
        <f t="shared" si="28"/>
        <v/>
      </c>
    </row>
    <row r="286" spans="10:19" x14ac:dyDescent="0.25">
      <c r="J286">
        <f t="shared" si="33"/>
        <v>0</v>
      </c>
      <c r="K286">
        <f t="shared" si="30"/>
        <v>0</v>
      </c>
      <c r="M286">
        <f t="shared" si="31"/>
        <v>0</v>
      </c>
      <c r="N286">
        <f t="shared" si="32"/>
        <v>0</v>
      </c>
      <c r="S286" t="str">
        <f t="shared" si="28"/>
        <v/>
      </c>
    </row>
    <row r="287" spans="10:19" x14ac:dyDescent="0.25">
      <c r="J287">
        <f t="shared" si="33"/>
        <v>0</v>
      </c>
      <c r="K287">
        <f t="shared" si="30"/>
        <v>0</v>
      </c>
      <c r="M287">
        <f t="shared" si="31"/>
        <v>0</v>
      </c>
      <c r="N287">
        <f t="shared" si="32"/>
        <v>0</v>
      </c>
      <c r="S287" t="str">
        <f t="shared" si="28"/>
        <v/>
      </c>
    </row>
    <row r="288" spans="10:19" x14ac:dyDescent="0.25">
      <c r="J288">
        <f t="shared" si="33"/>
        <v>0</v>
      </c>
      <c r="K288">
        <f t="shared" ref="K288:K300" si="34">ROUNDDOWN(F288*$I$2*1/1000,0)</f>
        <v>0</v>
      </c>
      <c r="M288">
        <f t="shared" ref="M288:M300" si="35">J288-J287</f>
        <v>0</v>
      </c>
      <c r="N288">
        <f t="shared" ref="N288:N300" si="36">K288-K287</f>
        <v>0</v>
      </c>
      <c r="S288" t="str">
        <f t="shared" si="28"/>
        <v/>
      </c>
    </row>
    <row r="289" spans="10:19" x14ac:dyDescent="0.25">
      <c r="J289">
        <f t="shared" si="33"/>
        <v>0</v>
      </c>
      <c r="K289">
        <f t="shared" si="34"/>
        <v>0</v>
      </c>
      <c r="M289">
        <f t="shared" si="35"/>
        <v>0</v>
      </c>
      <c r="N289">
        <f t="shared" si="36"/>
        <v>0</v>
      </c>
      <c r="S289" t="str">
        <f t="shared" si="28"/>
        <v/>
      </c>
    </row>
    <row r="290" spans="10:19" x14ac:dyDescent="0.25">
      <c r="J290">
        <f t="shared" si="33"/>
        <v>0</v>
      </c>
      <c r="K290">
        <f t="shared" si="34"/>
        <v>0</v>
      </c>
      <c r="M290">
        <f t="shared" si="35"/>
        <v>0</v>
      </c>
      <c r="N290">
        <f t="shared" si="36"/>
        <v>0</v>
      </c>
      <c r="S290" t="str">
        <f t="shared" si="28"/>
        <v/>
      </c>
    </row>
    <row r="291" spans="10:19" x14ac:dyDescent="0.25">
      <c r="J291">
        <f t="shared" si="33"/>
        <v>0</v>
      </c>
      <c r="K291">
        <f t="shared" si="34"/>
        <v>0</v>
      </c>
      <c r="M291">
        <f t="shared" si="35"/>
        <v>0</v>
      </c>
      <c r="N291">
        <f t="shared" si="36"/>
        <v>0</v>
      </c>
      <c r="S291" t="str">
        <f t="shared" si="28"/>
        <v/>
      </c>
    </row>
    <row r="292" spans="10:19" x14ac:dyDescent="0.25">
      <c r="J292">
        <f t="shared" si="33"/>
        <v>0</v>
      </c>
      <c r="K292">
        <f t="shared" si="34"/>
        <v>0</v>
      </c>
      <c r="M292">
        <f t="shared" si="35"/>
        <v>0</v>
      </c>
      <c r="N292">
        <f t="shared" si="36"/>
        <v>0</v>
      </c>
      <c r="S292" t="str">
        <f t="shared" si="28"/>
        <v/>
      </c>
    </row>
    <row r="293" spans="10:19" x14ac:dyDescent="0.25">
      <c r="J293">
        <f t="shared" si="33"/>
        <v>0</v>
      </c>
      <c r="K293">
        <f t="shared" si="34"/>
        <v>0</v>
      </c>
      <c r="M293">
        <f t="shared" si="35"/>
        <v>0</v>
      </c>
      <c r="N293">
        <f t="shared" si="36"/>
        <v>0</v>
      </c>
      <c r="S293" t="str">
        <f t="shared" si="28"/>
        <v/>
      </c>
    </row>
    <row r="294" spans="10:19" x14ac:dyDescent="0.25">
      <c r="J294">
        <f t="shared" si="33"/>
        <v>0</v>
      </c>
      <c r="K294">
        <f t="shared" si="34"/>
        <v>0</v>
      </c>
      <c r="M294">
        <f t="shared" si="35"/>
        <v>0</v>
      </c>
      <c r="N294">
        <f t="shared" si="36"/>
        <v>0</v>
      </c>
      <c r="S294" t="str">
        <f t="shared" si="28"/>
        <v/>
      </c>
    </row>
    <row r="295" spans="10:19" x14ac:dyDescent="0.25">
      <c r="J295">
        <f t="shared" si="33"/>
        <v>0</v>
      </c>
      <c r="K295">
        <f t="shared" si="34"/>
        <v>0</v>
      </c>
      <c r="M295">
        <f t="shared" si="35"/>
        <v>0</v>
      </c>
      <c r="N295">
        <f t="shared" si="36"/>
        <v>0</v>
      </c>
      <c r="S295" t="str">
        <f t="shared" si="28"/>
        <v/>
      </c>
    </row>
    <row r="296" spans="10:19" x14ac:dyDescent="0.25">
      <c r="J296">
        <f t="shared" si="33"/>
        <v>0</v>
      </c>
      <c r="K296">
        <f t="shared" si="34"/>
        <v>0</v>
      </c>
      <c r="M296">
        <f t="shared" si="35"/>
        <v>0</v>
      </c>
      <c r="N296">
        <f t="shared" si="36"/>
        <v>0</v>
      </c>
      <c r="S296" t="str">
        <f t="shared" si="28"/>
        <v/>
      </c>
    </row>
    <row r="297" spans="10:19" x14ac:dyDescent="0.25">
      <c r="J297">
        <f t="shared" si="33"/>
        <v>0</v>
      </c>
      <c r="K297">
        <f t="shared" si="34"/>
        <v>0</v>
      </c>
      <c r="M297">
        <f t="shared" si="35"/>
        <v>0</v>
      </c>
      <c r="N297">
        <f t="shared" si="36"/>
        <v>0</v>
      </c>
      <c r="S297" t="str">
        <f t="shared" si="28"/>
        <v/>
      </c>
    </row>
    <row r="298" spans="10:19" x14ac:dyDescent="0.25">
      <c r="J298">
        <f t="shared" si="33"/>
        <v>0</v>
      </c>
      <c r="K298">
        <f t="shared" si="34"/>
        <v>0</v>
      </c>
      <c r="M298">
        <f t="shared" si="35"/>
        <v>0</v>
      </c>
      <c r="N298">
        <f t="shared" si="36"/>
        <v>0</v>
      </c>
      <c r="S298" t="str">
        <f t="shared" si="28"/>
        <v/>
      </c>
    </row>
    <row r="299" spans="10:19" x14ac:dyDescent="0.25">
      <c r="J299">
        <f t="shared" si="33"/>
        <v>0</v>
      </c>
      <c r="K299">
        <f t="shared" si="34"/>
        <v>0</v>
      </c>
      <c r="M299">
        <f t="shared" si="35"/>
        <v>0</v>
      </c>
      <c r="N299">
        <f t="shared" si="36"/>
        <v>0</v>
      </c>
      <c r="S299" t="str">
        <f t="shared" si="28"/>
        <v/>
      </c>
    </row>
    <row r="300" spans="10:19" x14ac:dyDescent="0.25">
      <c r="J300">
        <f t="shared" si="33"/>
        <v>0</v>
      </c>
      <c r="K300">
        <f t="shared" si="34"/>
        <v>0</v>
      </c>
      <c r="M300">
        <f t="shared" si="35"/>
        <v>0</v>
      </c>
      <c r="N300">
        <f t="shared" si="36"/>
        <v>0</v>
      </c>
      <c r="S300" t="str">
        <f t="shared" si="28"/>
        <v/>
      </c>
    </row>
  </sheetData>
  <mergeCells count="4">
    <mergeCell ref="A1:D1"/>
    <mergeCell ref="E1:H1"/>
    <mergeCell ref="M1:N1"/>
    <mergeCell ref="J1:K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"/>
  <sheetViews>
    <sheetView workbookViewId="0"/>
  </sheetViews>
  <sheetFormatPr defaultRowHeight="15" x14ac:dyDescent="0.25"/>
  <cols>
    <col min="1" max="1" width="19.7109375" bestFit="1" customWidth="1"/>
    <col min="2" max="2" width="6.7109375" bestFit="1" customWidth="1"/>
    <col min="3" max="3" width="7.7109375" bestFit="1" customWidth="1"/>
    <col min="4" max="4" width="5.7109375" bestFit="1" customWidth="1"/>
    <col min="5" max="5" width="5.42578125" bestFit="1" customWidth="1"/>
    <col min="6" max="6" width="9.28515625" bestFit="1" customWidth="1"/>
    <col min="7" max="7" width="13.28515625" bestFit="1" customWidth="1"/>
    <col min="8" max="8" width="42.5703125" bestFit="1" customWidth="1"/>
    <col min="9" max="9" width="43.42578125" bestFit="1" customWidth="1"/>
    <col min="10" max="10" width="4.85546875" bestFit="1" customWidth="1"/>
    <col min="11" max="11" width="17.5703125" bestFit="1" customWidth="1"/>
    <col min="12" max="12" width="11" bestFit="1" customWidth="1"/>
    <col min="13" max="13" width="14.7109375" bestFit="1" customWidth="1"/>
    <col min="14" max="14" width="15.28515625" bestFit="1" customWidth="1"/>
    <col min="15" max="15" width="6.28515625" bestFit="1" customWidth="1"/>
  </cols>
  <sheetData>
    <row r="1" spans="1:15" x14ac:dyDescent="0.3">
      <c r="A1" t="s">
        <v>101</v>
      </c>
      <c r="B1" t="s">
        <v>7</v>
      </c>
      <c r="C1" t="s">
        <v>99</v>
      </c>
      <c r="D1" t="s">
        <v>13</v>
      </c>
      <c r="E1" t="s">
        <v>11</v>
      </c>
      <c r="F1" t="s">
        <v>8</v>
      </c>
      <c r="G1" t="s">
        <v>9</v>
      </c>
      <c r="H1" t="s">
        <v>172</v>
      </c>
      <c r="I1" t="s">
        <v>100</v>
      </c>
      <c r="J1" t="s">
        <v>185</v>
      </c>
      <c r="K1" t="s">
        <v>182</v>
      </c>
      <c r="L1" t="s">
        <v>180</v>
      </c>
      <c r="M1" t="s">
        <v>183</v>
      </c>
      <c r="N1" t="s">
        <v>184</v>
      </c>
      <c r="O1" t="s">
        <v>181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7"/>
  <sheetViews>
    <sheetView tabSelected="1" topLeftCell="D169" zoomScaleNormal="100" workbookViewId="0">
      <selection activeCell="F165" sqref="F165:H197"/>
    </sheetView>
  </sheetViews>
  <sheetFormatPr defaultColWidth="9.140625" defaultRowHeight="15.75" x14ac:dyDescent="0.25"/>
  <cols>
    <col min="1" max="1" width="15.7109375" style="3" bestFit="1" customWidth="1"/>
    <col min="2" max="2" width="15.7109375" style="3" customWidth="1"/>
    <col min="3" max="3" width="23.85546875" style="4" bestFit="1" customWidth="1"/>
    <col min="4" max="4" width="19.7109375" style="4" bestFit="1" customWidth="1"/>
    <col min="5" max="5" width="20.7109375" style="4" bestFit="1" customWidth="1"/>
    <col min="6" max="6" width="28.85546875" style="4" bestFit="1" customWidth="1"/>
    <col min="7" max="7" width="27" style="4" bestFit="1" customWidth="1"/>
    <col min="8" max="8" width="27.7109375" style="4" bestFit="1" customWidth="1"/>
    <col min="9" max="16384" width="9.140625" style="4"/>
  </cols>
  <sheetData>
    <row r="1" spans="1:8" x14ac:dyDescent="0.25">
      <c r="A1" s="7" t="s">
        <v>14</v>
      </c>
      <c r="B1" s="7" t="s">
        <v>185</v>
      </c>
      <c r="C1" s="8" t="s">
        <v>15</v>
      </c>
      <c r="D1" s="8" t="s">
        <v>12</v>
      </c>
      <c r="E1" s="8" t="s">
        <v>103</v>
      </c>
      <c r="F1" s="8" t="s">
        <v>162</v>
      </c>
      <c r="G1" s="8" t="s">
        <v>163</v>
      </c>
      <c r="H1" s="8" t="s">
        <v>164</v>
      </c>
    </row>
    <row r="2" spans="1:8" x14ac:dyDescent="0.25">
      <c r="A2" s="5" t="s">
        <v>63</v>
      </c>
      <c r="B2" s="5" t="s">
        <v>186</v>
      </c>
      <c r="C2" s="5">
        <v>5</v>
      </c>
      <c r="D2" s="4">
        <v>500</v>
      </c>
      <c r="E2" s="4">
        <f t="shared" ref="E2:E65" si="0">IF(C2="N/A","N/A",IF(C2=5,0,IF(AND(C2=4,D2=250),36,IF(AND(C2=4,D2=500),18,IF(AND(C2=4,D2=1000),8,"MISSING INFO")))))</f>
        <v>0</v>
      </c>
      <c r="F2" s="4">
        <v>9</v>
      </c>
      <c r="G2" s="4">
        <v>11</v>
      </c>
      <c r="H2" s="4">
        <v>13</v>
      </c>
    </row>
    <row r="3" spans="1:8" x14ac:dyDescent="0.25">
      <c r="A3" s="1" t="s">
        <v>159</v>
      </c>
      <c r="B3" s="5" t="s">
        <v>186</v>
      </c>
      <c r="C3" s="4">
        <v>5</v>
      </c>
      <c r="D3" s="4">
        <v>1000</v>
      </c>
      <c r="E3" s="4">
        <f t="shared" si="0"/>
        <v>0</v>
      </c>
      <c r="F3" s="4">
        <v>9</v>
      </c>
      <c r="G3" s="4">
        <v>11</v>
      </c>
      <c r="H3" s="4">
        <v>13</v>
      </c>
    </row>
    <row r="4" spans="1:8" x14ac:dyDescent="0.25">
      <c r="A4" s="3" t="s">
        <v>105</v>
      </c>
      <c r="B4" s="5" t="s">
        <v>186</v>
      </c>
      <c r="C4" s="5">
        <v>5</v>
      </c>
      <c r="D4" s="4">
        <v>1000</v>
      </c>
      <c r="E4" s="4">
        <f t="shared" si="0"/>
        <v>0</v>
      </c>
      <c r="F4" s="4">
        <v>9</v>
      </c>
      <c r="G4" s="4">
        <v>11</v>
      </c>
      <c r="H4" s="4">
        <v>13</v>
      </c>
    </row>
    <row r="5" spans="1:8" x14ac:dyDescent="0.25">
      <c r="A5" s="3" t="s">
        <v>17</v>
      </c>
      <c r="B5" s="4" t="s">
        <v>16</v>
      </c>
      <c r="C5" s="5" t="s">
        <v>16</v>
      </c>
      <c r="D5" s="5" t="s">
        <v>16</v>
      </c>
      <c r="E5" s="4" t="str">
        <f t="shared" si="0"/>
        <v>N/A</v>
      </c>
      <c r="F5" s="5" t="s">
        <v>16</v>
      </c>
      <c r="G5" s="5" t="s">
        <v>16</v>
      </c>
      <c r="H5" s="5" t="s">
        <v>16</v>
      </c>
    </row>
    <row r="6" spans="1:8" x14ac:dyDescent="0.25">
      <c r="A6" s="1" t="s">
        <v>106</v>
      </c>
      <c r="B6" s="5" t="s">
        <v>186</v>
      </c>
      <c r="C6" s="4">
        <v>5</v>
      </c>
      <c r="D6" s="4">
        <v>1000</v>
      </c>
      <c r="E6" s="4">
        <f t="shared" si="0"/>
        <v>0</v>
      </c>
      <c r="F6" s="4">
        <v>9</v>
      </c>
      <c r="G6" s="4">
        <v>11</v>
      </c>
      <c r="H6" s="4">
        <v>13</v>
      </c>
    </row>
    <row r="7" spans="1:8" x14ac:dyDescent="0.25">
      <c r="A7" s="1" t="s">
        <v>18</v>
      </c>
      <c r="B7" s="4" t="s">
        <v>16</v>
      </c>
      <c r="C7" s="5" t="s">
        <v>16</v>
      </c>
      <c r="D7" s="5" t="s">
        <v>16</v>
      </c>
      <c r="E7" s="4" t="str">
        <f t="shared" si="0"/>
        <v>N/A</v>
      </c>
      <c r="F7" s="5" t="s">
        <v>16</v>
      </c>
      <c r="G7" s="5" t="s">
        <v>16</v>
      </c>
      <c r="H7" s="5" t="s">
        <v>16</v>
      </c>
    </row>
    <row r="8" spans="1:8" x14ac:dyDescent="0.25">
      <c r="A8" s="3" t="s">
        <v>192</v>
      </c>
      <c r="B8" s="3" t="s">
        <v>187</v>
      </c>
      <c r="C8" s="4">
        <v>5</v>
      </c>
      <c r="D8" s="4">
        <v>1000</v>
      </c>
      <c r="E8" s="4">
        <f t="shared" si="0"/>
        <v>0</v>
      </c>
      <c r="F8" s="4">
        <v>9</v>
      </c>
      <c r="G8" s="4">
        <v>11</v>
      </c>
      <c r="H8" s="4">
        <v>13</v>
      </c>
    </row>
    <row r="9" spans="1:8" x14ac:dyDescent="0.25">
      <c r="A9" s="3" t="s">
        <v>189</v>
      </c>
      <c r="B9" s="3" t="s">
        <v>187</v>
      </c>
      <c r="C9" s="4">
        <v>5</v>
      </c>
      <c r="D9" s="4">
        <v>1000</v>
      </c>
      <c r="E9" s="4">
        <f t="shared" si="0"/>
        <v>0</v>
      </c>
      <c r="F9" s="4">
        <v>9</v>
      </c>
      <c r="G9" s="4">
        <v>11</v>
      </c>
      <c r="H9" s="4">
        <v>13</v>
      </c>
    </row>
    <row r="10" spans="1:8" x14ac:dyDescent="0.25">
      <c r="A10" s="3" t="s">
        <v>190</v>
      </c>
      <c r="B10" s="5" t="s">
        <v>186</v>
      </c>
      <c r="C10" s="4">
        <v>4</v>
      </c>
      <c r="D10" s="4">
        <v>500</v>
      </c>
      <c r="E10" s="4">
        <f t="shared" si="0"/>
        <v>18</v>
      </c>
      <c r="F10" s="4">
        <v>9</v>
      </c>
      <c r="G10" s="4">
        <v>11</v>
      </c>
      <c r="H10" s="4">
        <v>13</v>
      </c>
    </row>
    <row r="11" spans="1:8" x14ac:dyDescent="0.25">
      <c r="A11" s="1" t="s">
        <v>191</v>
      </c>
      <c r="B11" s="5" t="s">
        <v>186</v>
      </c>
      <c r="C11" s="5">
        <v>4</v>
      </c>
      <c r="D11" s="4">
        <v>500</v>
      </c>
      <c r="E11" s="4">
        <f t="shared" si="0"/>
        <v>18</v>
      </c>
      <c r="F11" s="4">
        <v>9</v>
      </c>
      <c r="G11" s="4">
        <v>11</v>
      </c>
      <c r="H11" s="4">
        <v>13</v>
      </c>
    </row>
    <row r="12" spans="1:8" x14ac:dyDescent="0.25">
      <c r="A12" s="2" t="s">
        <v>160</v>
      </c>
      <c r="B12" s="5" t="s">
        <v>186</v>
      </c>
      <c r="C12" s="4">
        <v>4</v>
      </c>
      <c r="D12" s="4">
        <v>500</v>
      </c>
      <c r="E12" s="4">
        <f t="shared" si="0"/>
        <v>18</v>
      </c>
      <c r="F12" s="4">
        <v>9</v>
      </c>
      <c r="G12" s="4">
        <v>11</v>
      </c>
      <c r="H12" s="4">
        <v>13</v>
      </c>
    </row>
    <row r="13" spans="1:8" x14ac:dyDescent="0.25">
      <c r="A13" s="2" t="s">
        <v>161</v>
      </c>
      <c r="B13" s="5" t="s">
        <v>186</v>
      </c>
      <c r="C13" s="4">
        <v>4</v>
      </c>
      <c r="D13" s="4">
        <v>500</v>
      </c>
      <c r="E13" s="4">
        <f t="shared" si="0"/>
        <v>18</v>
      </c>
      <c r="F13" s="4">
        <v>9</v>
      </c>
      <c r="G13" s="4">
        <v>11</v>
      </c>
      <c r="H13" s="4">
        <v>13</v>
      </c>
    </row>
    <row r="14" spans="1:8" x14ac:dyDescent="0.25">
      <c r="A14" s="3" t="s">
        <v>193</v>
      </c>
      <c r="B14" s="3" t="s">
        <v>186</v>
      </c>
      <c r="C14" s="4">
        <v>4</v>
      </c>
      <c r="D14" s="4">
        <v>500</v>
      </c>
      <c r="E14" s="4">
        <f t="shared" si="0"/>
        <v>18</v>
      </c>
      <c r="F14" s="4">
        <v>9</v>
      </c>
      <c r="G14" s="4">
        <v>11</v>
      </c>
      <c r="H14" s="4">
        <v>13</v>
      </c>
    </row>
    <row r="15" spans="1:8" x14ac:dyDescent="0.25">
      <c r="A15" s="3" t="s">
        <v>193</v>
      </c>
      <c r="B15" s="5" t="s">
        <v>186</v>
      </c>
      <c r="C15" s="5">
        <v>4</v>
      </c>
      <c r="D15" s="4">
        <v>500</v>
      </c>
      <c r="E15" s="4">
        <f t="shared" si="0"/>
        <v>18</v>
      </c>
      <c r="F15" s="4">
        <v>9</v>
      </c>
      <c r="G15" s="4">
        <v>11</v>
      </c>
      <c r="H15" s="4">
        <v>13</v>
      </c>
    </row>
    <row r="16" spans="1:8" x14ac:dyDescent="0.25">
      <c r="A16" s="2" t="s">
        <v>194</v>
      </c>
      <c r="B16" s="4" t="s">
        <v>16</v>
      </c>
      <c r="C16" s="5" t="s">
        <v>16</v>
      </c>
      <c r="D16" s="5" t="s">
        <v>16</v>
      </c>
      <c r="E16" s="4" t="str">
        <f t="shared" si="0"/>
        <v>N/A</v>
      </c>
      <c r="F16" s="5" t="s">
        <v>16</v>
      </c>
      <c r="G16" s="5" t="s">
        <v>16</v>
      </c>
      <c r="H16" s="5" t="s">
        <v>16</v>
      </c>
    </row>
    <row r="17" spans="1:8" x14ac:dyDescent="0.25">
      <c r="A17" s="3" t="s">
        <v>165</v>
      </c>
      <c r="B17" s="5" t="s">
        <v>186</v>
      </c>
      <c r="C17" s="4">
        <v>4</v>
      </c>
      <c r="D17" s="4">
        <v>500</v>
      </c>
      <c r="E17" s="4">
        <f t="shared" si="0"/>
        <v>18</v>
      </c>
      <c r="F17" s="4">
        <v>9</v>
      </c>
      <c r="G17" s="4">
        <v>11</v>
      </c>
      <c r="H17" s="4">
        <v>13</v>
      </c>
    </row>
    <row r="18" spans="1:8" x14ac:dyDescent="0.25">
      <c r="A18" s="2" t="s">
        <v>166</v>
      </c>
      <c r="B18" s="4" t="s">
        <v>16</v>
      </c>
      <c r="C18" s="1" t="s">
        <v>16</v>
      </c>
      <c r="D18" s="5" t="s">
        <v>16</v>
      </c>
      <c r="E18" s="4" t="str">
        <f t="shared" si="0"/>
        <v>N/A</v>
      </c>
      <c r="F18" s="5" t="s">
        <v>16</v>
      </c>
      <c r="G18" s="5" t="s">
        <v>16</v>
      </c>
      <c r="H18" s="5" t="s">
        <v>16</v>
      </c>
    </row>
    <row r="19" spans="1:8" x14ac:dyDescent="0.25">
      <c r="A19" s="3" t="s">
        <v>167</v>
      </c>
      <c r="B19" s="5" t="s">
        <v>186</v>
      </c>
      <c r="C19" s="4">
        <v>4</v>
      </c>
      <c r="D19" s="4">
        <v>500</v>
      </c>
      <c r="E19" s="4">
        <f t="shared" si="0"/>
        <v>18</v>
      </c>
      <c r="F19" s="4">
        <v>9</v>
      </c>
      <c r="G19" s="4">
        <v>11</v>
      </c>
      <c r="H19" s="4">
        <v>13</v>
      </c>
    </row>
    <row r="20" spans="1:8" x14ac:dyDescent="0.25">
      <c r="A20" s="3" t="s">
        <v>168</v>
      </c>
      <c r="B20" s="5" t="s">
        <v>186</v>
      </c>
      <c r="C20" s="4">
        <v>5</v>
      </c>
      <c r="D20" s="4">
        <v>1000</v>
      </c>
      <c r="E20" s="4">
        <f t="shared" si="0"/>
        <v>0</v>
      </c>
      <c r="F20" s="4">
        <v>9</v>
      </c>
      <c r="G20" s="4">
        <v>11</v>
      </c>
      <c r="H20" s="4">
        <v>13</v>
      </c>
    </row>
    <row r="21" spans="1:8" x14ac:dyDescent="0.25">
      <c r="A21" s="2" t="s">
        <v>118</v>
      </c>
      <c r="B21" s="5" t="s">
        <v>186</v>
      </c>
      <c r="C21" s="4">
        <v>4</v>
      </c>
      <c r="D21" s="4">
        <v>500</v>
      </c>
      <c r="E21" s="4">
        <f t="shared" si="0"/>
        <v>18</v>
      </c>
      <c r="F21" s="4">
        <v>9</v>
      </c>
      <c r="G21" s="4">
        <v>11</v>
      </c>
      <c r="H21" s="4">
        <v>13</v>
      </c>
    </row>
    <row r="22" spans="1:8" x14ac:dyDescent="0.25">
      <c r="A22" s="2" t="s">
        <v>119</v>
      </c>
      <c r="B22" s="5" t="s">
        <v>186</v>
      </c>
      <c r="C22" s="4">
        <v>4</v>
      </c>
      <c r="D22" s="4">
        <v>500</v>
      </c>
      <c r="E22" s="4">
        <f t="shared" si="0"/>
        <v>18</v>
      </c>
      <c r="F22" s="4">
        <v>9</v>
      </c>
      <c r="G22" s="4">
        <v>11</v>
      </c>
      <c r="H22" s="4">
        <v>13</v>
      </c>
    </row>
    <row r="23" spans="1:8" x14ac:dyDescent="0.25">
      <c r="A23" s="3" t="s">
        <v>177</v>
      </c>
      <c r="B23" s="5" t="s">
        <v>186</v>
      </c>
      <c r="C23" s="4">
        <v>4</v>
      </c>
      <c r="D23" s="4">
        <v>500</v>
      </c>
      <c r="E23" s="4">
        <f t="shared" si="0"/>
        <v>18</v>
      </c>
      <c r="F23" s="4">
        <v>9</v>
      </c>
      <c r="G23" s="4">
        <v>11</v>
      </c>
      <c r="H23" s="4">
        <v>13</v>
      </c>
    </row>
    <row r="24" spans="1:8" x14ac:dyDescent="0.25">
      <c r="A24" s="1" t="s">
        <v>120</v>
      </c>
      <c r="B24" s="5" t="s">
        <v>186</v>
      </c>
      <c r="C24" s="4">
        <v>4</v>
      </c>
      <c r="D24" s="4">
        <v>500</v>
      </c>
      <c r="E24" s="4">
        <f t="shared" si="0"/>
        <v>18</v>
      </c>
      <c r="F24" s="4">
        <v>9</v>
      </c>
      <c r="G24" s="4">
        <v>11</v>
      </c>
      <c r="H24" s="4">
        <v>13</v>
      </c>
    </row>
    <row r="25" spans="1:8" x14ac:dyDescent="0.25">
      <c r="A25" s="2" t="s">
        <v>121</v>
      </c>
      <c r="B25" s="5" t="s">
        <v>186</v>
      </c>
      <c r="C25" s="4">
        <v>4</v>
      </c>
      <c r="D25" s="4">
        <v>500</v>
      </c>
      <c r="E25" s="4">
        <f t="shared" si="0"/>
        <v>18</v>
      </c>
      <c r="F25" s="4">
        <v>9</v>
      </c>
      <c r="G25" s="4">
        <v>11</v>
      </c>
      <c r="H25" s="4">
        <v>13</v>
      </c>
    </row>
    <row r="26" spans="1:8" x14ac:dyDescent="0.25">
      <c r="A26" s="3" t="s">
        <v>178</v>
      </c>
      <c r="B26" s="5" t="s">
        <v>186</v>
      </c>
      <c r="C26" s="4">
        <v>4</v>
      </c>
      <c r="D26" s="4">
        <v>500</v>
      </c>
      <c r="E26" s="4">
        <f t="shared" si="0"/>
        <v>18</v>
      </c>
      <c r="F26" s="4">
        <v>9</v>
      </c>
      <c r="G26" s="4">
        <v>11</v>
      </c>
      <c r="H26" s="4">
        <v>13</v>
      </c>
    </row>
    <row r="27" spans="1:8" x14ac:dyDescent="0.25">
      <c r="A27" s="2" t="s">
        <v>122</v>
      </c>
      <c r="B27" s="5" t="s">
        <v>186</v>
      </c>
      <c r="C27" s="4">
        <v>4</v>
      </c>
      <c r="D27" s="4">
        <v>500</v>
      </c>
      <c r="E27" s="4">
        <f t="shared" si="0"/>
        <v>18</v>
      </c>
      <c r="F27" s="4">
        <v>9</v>
      </c>
      <c r="G27" s="4">
        <v>11</v>
      </c>
      <c r="H27" s="4">
        <v>13</v>
      </c>
    </row>
    <row r="28" spans="1:8" x14ac:dyDescent="0.25">
      <c r="A28" s="2" t="s">
        <v>123</v>
      </c>
      <c r="B28" s="5" t="s">
        <v>186</v>
      </c>
      <c r="C28" s="4">
        <v>4</v>
      </c>
      <c r="D28" s="4">
        <v>500</v>
      </c>
      <c r="E28" s="4">
        <f t="shared" si="0"/>
        <v>18</v>
      </c>
      <c r="F28" s="4">
        <v>9</v>
      </c>
      <c r="G28" s="4">
        <v>11</v>
      </c>
      <c r="H28" s="4">
        <v>13</v>
      </c>
    </row>
    <row r="29" spans="1:8" x14ac:dyDescent="0.25">
      <c r="A29" s="2" t="s">
        <v>124</v>
      </c>
      <c r="B29" s="5" t="s">
        <v>186</v>
      </c>
      <c r="C29" s="4">
        <v>4</v>
      </c>
      <c r="D29" s="4">
        <v>500</v>
      </c>
      <c r="E29" s="4">
        <f t="shared" si="0"/>
        <v>18</v>
      </c>
      <c r="F29" s="4">
        <v>9</v>
      </c>
      <c r="G29" s="4">
        <v>11</v>
      </c>
      <c r="H29" s="4">
        <v>13</v>
      </c>
    </row>
    <row r="30" spans="1:8" x14ac:dyDescent="0.25">
      <c r="A30" s="2" t="s">
        <v>125</v>
      </c>
      <c r="B30" s="5" t="s">
        <v>186</v>
      </c>
      <c r="C30" s="4">
        <v>4</v>
      </c>
      <c r="D30" s="4">
        <v>500</v>
      </c>
      <c r="E30" s="4">
        <f t="shared" si="0"/>
        <v>18</v>
      </c>
      <c r="F30" s="4">
        <v>9</v>
      </c>
      <c r="G30" s="4">
        <v>11</v>
      </c>
      <c r="H30" s="4">
        <v>13</v>
      </c>
    </row>
    <row r="31" spans="1:8" x14ac:dyDescent="0.25">
      <c r="A31" s="2" t="s">
        <v>126</v>
      </c>
      <c r="B31" s="5" t="s">
        <v>186</v>
      </c>
      <c r="C31" s="4">
        <v>4</v>
      </c>
      <c r="D31" s="4">
        <v>500</v>
      </c>
      <c r="E31" s="4">
        <f t="shared" si="0"/>
        <v>18</v>
      </c>
      <c r="F31" s="4">
        <v>9</v>
      </c>
      <c r="G31" s="4">
        <v>11</v>
      </c>
      <c r="H31" s="4">
        <v>13</v>
      </c>
    </row>
    <row r="32" spans="1:8" x14ac:dyDescent="0.25">
      <c r="A32" s="2" t="s">
        <v>127</v>
      </c>
      <c r="B32" s="5" t="s">
        <v>186</v>
      </c>
      <c r="C32" s="4">
        <v>4</v>
      </c>
      <c r="D32" s="4">
        <v>500</v>
      </c>
      <c r="E32" s="4">
        <f t="shared" si="0"/>
        <v>18</v>
      </c>
      <c r="F32" s="4">
        <v>9</v>
      </c>
      <c r="G32" s="4">
        <v>11</v>
      </c>
      <c r="H32" s="4">
        <v>13</v>
      </c>
    </row>
    <row r="33" spans="1:8" x14ac:dyDescent="0.25">
      <c r="A33" s="2" t="s">
        <v>128</v>
      </c>
      <c r="B33" s="5" t="s">
        <v>186</v>
      </c>
      <c r="C33" s="4">
        <v>4</v>
      </c>
      <c r="D33" s="4">
        <v>500</v>
      </c>
      <c r="E33" s="4">
        <f t="shared" si="0"/>
        <v>18</v>
      </c>
      <c r="F33" s="4">
        <v>9</v>
      </c>
      <c r="G33" s="4">
        <v>11</v>
      </c>
      <c r="H33" s="4">
        <v>13</v>
      </c>
    </row>
    <row r="34" spans="1:8" x14ac:dyDescent="0.25">
      <c r="A34" s="2" t="s">
        <v>129</v>
      </c>
      <c r="B34" s="5" t="s">
        <v>186</v>
      </c>
      <c r="C34" s="4">
        <v>4</v>
      </c>
      <c r="D34" s="4">
        <v>500</v>
      </c>
      <c r="E34" s="4">
        <f t="shared" si="0"/>
        <v>18</v>
      </c>
      <c r="F34" s="4">
        <v>9</v>
      </c>
      <c r="G34" s="4">
        <v>11</v>
      </c>
      <c r="H34" s="4">
        <v>13</v>
      </c>
    </row>
    <row r="35" spans="1:8" x14ac:dyDescent="0.25">
      <c r="A35" s="2" t="s">
        <v>130</v>
      </c>
      <c r="B35" s="5" t="s">
        <v>186</v>
      </c>
      <c r="C35" s="4">
        <v>4</v>
      </c>
      <c r="D35" s="4">
        <v>500</v>
      </c>
      <c r="E35" s="4">
        <f t="shared" si="0"/>
        <v>18</v>
      </c>
      <c r="F35" s="4">
        <v>9</v>
      </c>
      <c r="G35" s="4">
        <v>11</v>
      </c>
      <c r="H35" s="4">
        <v>13</v>
      </c>
    </row>
    <row r="36" spans="1:8" x14ac:dyDescent="0.25">
      <c r="A36" s="2" t="s">
        <v>131</v>
      </c>
      <c r="B36" s="5" t="s">
        <v>186</v>
      </c>
      <c r="C36" s="4">
        <v>4</v>
      </c>
      <c r="D36" s="4">
        <v>500</v>
      </c>
      <c r="E36" s="4">
        <f t="shared" si="0"/>
        <v>18</v>
      </c>
      <c r="F36" s="4">
        <v>9</v>
      </c>
      <c r="G36" s="4">
        <v>11</v>
      </c>
      <c r="H36" s="4">
        <v>13</v>
      </c>
    </row>
    <row r="37" spans="1:8" x14ac:dyDescent="0.25">
      <c r="A37" s="2" t="s">
        <v>132</v>
      </c>
      <c r="B37" s="5" t="s">
        <v>186</v>
      </c>
      <c r="C37" s="4">
        <v>4</v>
      </c>
      <c r="D37" s="4">
        <v>500</v>
      </c>
      <c r="E37" s="4">
        <f t="shared" si="0"/>
        <v>18</v>
      </c>
      <c r="F37" s="4">
        <v>9</v>
      </c>
      <c r="G37" s="4">
        <v>11</v>
      </c>
      <c r="H37" s="4">
        <v>13</v>
      </c>
    </row>
    <row r="38" spans="1:8" x14ac:dyDescent="0.25">
      <c r="A38" s="2" t="s">
        <v>133</v>
      </c>
      <c r="B38" s="5" t="s">
        <v>186</v>
      </c>
      <c r="C38" s="4">
        <v>4</v>
      </c>
      <c r="D38" s="4">
        <v>500</v>
      </c>
      <c r="E38" s="4">
        <f t="shared" si="0"/>
        <v>18</v>
      </c>
      <c r="F38" s="4">
        <v>9</v>
      </c>
      <c r="G38" s="4">
        <v>11</v>
      </c>
      <c r="H38" s="4">
        <v>13</v>
      </c>
    </row>
    <row r="39" spans="1:8" x14ac:dyDescent="0.25">
      <c r="A39" s="2" t="s">
        <v>134</v>
      </c>
      <c r="B39" s="5" t="s">
        <v>186</v>
      </c>
      <c r="C39" s="4">
        <v>4</v>
      </c>
      <c r="D39" s="4">
        <v>500</v>
      </c>
      <c r="E39" s="4">
        <f t="shared" si="0"/>
        <v>18</v>
      </c>
      <c r="F39" s="4">
        <v>9</v>
      </c>
      <c r="G39" s="4">
        <v>11</v>
      </c>
      <c r="H39" s="4">
        <v>13</v>
      </c>
    </row>
    <row r="40" spans="1:8" x14ac:dyDescent="0.25">
      <c r="A40" s="3" t="s">
        <v>135</v>
      </c>
      <c r="B40" s="5" t="s">
        <v>186</v>
      </c>
      <c r="C40" s="5">
        <v>4</v>
      </c>
      <c r="D40" s="4">
        <v>500</v>
      </c>
      <c r="E40" s="4">
        <f t="shared" si="0"/>
        <v>18</v>
      </c>
      <c r="F40" s="4">
        <v>9</v>
      </c>
      <c r="G40" s="4">
        <v>11</v>
      </c>
      <c r="H40" s="4">
        <v>13</v>
      </c>
    </row>
    <row r="41" spans="1:8" x14ac:dyDescent="0.25">
      <c r="A41" s="3" t="s">
        <v>136</v>
      </c>
      <c r="B41" s="5" t="s">
        <v>186</v>
      </c>
      <c r="C41" s="4">
        <v>4</v>
      </c>
      <c r="D41" s="4">
        <v>500</v>
      </c>
      <c r="E41" s="4">
        <f t="shared" si="0"/>
        <v>18</v>
      </c>
      <c r="F41" s="4">
        <v>9</v>
      </c>
      <c r="G41" s="4">
        <v>11</v>
      </c>
      <c r="H41" s="4">
        <v>13</v>
      </c>
    </row>
    <row r="42" spans="1:8" x14ac:dyDescent="0.25">
      <c r="A42" s="3" t="s">
        <v>137</v>
      </c>
      <c r="B42" s="5" t="s">
        <v>186</v>
      </c>
      <c r="C42" s="4">
        <v>5</v>
      </c>
      <c r="D42" s="4">
        <v>500</v>
      </c>
      <c r="E42" s="4">
        <f t="shared" si="0"/>
        <v>0</v>
      </c>
      <c r="F42" s="4">
        <v>9</v>
      </c>
      <c r="G42" s="4">
        <v>11</v>
      </c>
      <c r="H42" s="4">
        <v>13</v>
      </c>
    </row>
    <row r="43" spans="1:8" x14ac:dyDescent="0.25">
      <c r="A43" s="3" t="s">
        <v>138</v>
      </c>
      <c r="B43" s="5" t="s">
        <v>186</v>
      </c>
      <c r="C43" s="4">
        <v>4</v>
      </c>
      <c r="D43" s="4">
        <v>500</v>
      </c>
      <c r="E43" s="4">
        <f t="shared" si="0"/>
        <v>18</v>
      </c>
      <c r="F43" s="4">
        <v>9</v>
      </c>
      <c r="G43" s="4">
        <v>11</v>
      </c>
      <c r="H43" s="4">
        <v>13</v>
      </c>
    </row>
    <row r="44" spans="1:8" x14ac:dyDescent="0.25">
      <c r="A44" s="3" t="s">
        <v>139</v>
      </c>
      <c r="B44" s="5" t="s">
        <v>186</v>
      </c>
      <c r="C44" s="4">
        <v>5</v>
      </c>
      <c r="D44" s="4">
        <v>500</v>
      </c>
      <c r="E44" s="4">
        <f t="shared" si="0"/>
        <v>0</v>
      </c>
      <c r="F44" s="4">
        <v>9</v>
      </c>
      <c r="G44" s="4">
        <v>11</v>
      </c>
      <c r="H44" s="4">
        <v>13</v>
      </c>
    </row>
    <row r="45" spans="1:8" x14ac:dyDescent="0.25">
      <c r="A45" s="3" t="s">
        <v>140</v>
      </c>
      <c r="B45" s="5" t="s">
        <v>186</v>
      </c>
      <c r="C45" s="4">
        <v>5</v>
      </c>
      <c r="D45" s="4">
        <v>500</v>
      </c>
      <c r="E45" s="4">
        <f t="shared" si="0"/>
        <v>0</v>
      </c>
      <c r="F45" s="4">
        <v>9</v>
      </c>
      <c r="G45" s="4">
        <v>11</v>
      </c>
      <c r="H45" s="4">
        <v>13</v>
      </c>
    </row>
    <row r="46" spans="1:8" x14ac:dyDescent="0.25">
      <c r="A46" s="3" t="s">
        <v>141</v>
      </c>
      <c r="B46" s="5" t="s">
        <v>186</v>
      </c>
      <c r="C46" s="5">
        <v>5</v>
      </c>
      <c r="D46" s="4">
        <v>500</v>
      </c>
      <c r="E46" s="4">
        <f t="shared" si="0"/>
        <v>0</v>
      </c>
      <c r="F46" s="4">
        <v>9</v>
      </c>
      <c r="G46" s="4">
        <v>11</v>
      </c>
      <c r="H46" s="4">
        <v>13</v>
      </c>
    </row>
    <row r="47" spans="1:8" x14ac:dyDescent="0.25">
      <c r="A47" s="3" t="s">
        <v>142</v>
      </c>
      <c r="B47" s="5" t="s">
        <v>186</v>
      </c>
      <c r="C47" s="4">
        <v>5</v>
      </c>
      <c r="D47" s="4">
        <v>500</v>
      </c>
      <c r="E47" s="4">
        <f t="shared" si="0"/>
        <v>0</v>
      </c>
      <c r="F47" s="4">
        <v>9</v>
      </c>
      <c r="G47" s="4">
        <v>11</v>
      </c>
      <c r="H47" s="4">
        <v>13</v>
      </c>
    </row>
    <row r="48" spans="1:8" x14ac:dyDescent="0.25">
      <c r="A48" s="3" t="s">
        <v>143</v>
      </c>
      <c r="B48" s="5" t="s">
        <v>186</v>
      </c>
      <c r="C48" s="4">
        <v>5</v>
      </c>
      <c r="D48" s="4">
        <v>500</v>
      </c>
      <c r="E48" s="4">
        <f t="shared" si="0"/>
        <v>0</v>
      </c>
      <c r="F48" s="4">
        <v>9</v>
      </c>
      <c r="G48" s="4">
        <v>11</v>
      </c>
      <c r="H48" s="4">
        <v>13</v>
      </c>
    </row>
    <row r="49" spans="1:8" x14ac:dyDescent="0.25">
      <c r="A49" s="3" t="s">
        <v>144</v>
      </c>
      <c r="B49" s="5" t="s">
        <v>186</v>
      </c>
      <c r="C49" s="5">
        <v>5</v>
      </c>
      <c r="D49" s="4">
        <v>500</v>
      </c>
      <c r="E49" s="4">
        <f t="shared" si="0"/>
        <v>0</v>
      </c>
      <c r="F49" s="4">
        <v>9</v>
      </c>
      <c r="G49" s="4">
        <v>11</v>
      </c>
      <c r="H49" s="4">
        <v>13</v>
      </c>
    </row>
    <row r="50" spans="1:8" x14ac:dyDescent="0.25">
      <c r="A50" s="5" t="s">
        <v>145</v>
      </c>
      <c r="B50" s="5" t="s">
        <v>186</v>
      </c>
      <c r="C50" s="5">
        <v>5</v>
      </c>
      <c r="D50" s="4">
        <v>500</v>
      </c>
      <c r="E50" s="4">
        <f t="shared" si="0"/>
        <v>0</v>
      </c>
      <c r="F50" s="4">
        <v>9</v>
      </c>
      <c r="G50" s="4">
        <v>11</v>
      </c>
      <c r="H50" s="4">
        <v>13</v>
      </c>
    </row>
    <row r="51" spans="1:8" x14ac:dyDescent="0.25">
      <c r="A51" s="3" t="s">
        <v>146</v>
      </c>
      <c r="B51" s="5" t="s">
        <v>186</v>
      </c>
      <c r="C51" s="5">
        <v>5</v>
      </c>
      <c r="D51" s="4">
        <v>500</v>
      </c>
      <c r="E51" s="4">
        <f t="shared" si="0"/>
        <v>0</v>
      </c>
      <c r="F51" s="4">
        <v>9</v>
      </c>
      <c r="G51" s="4">
        <v>11</v>
      </c>
      <c r="H51" s="4">
        <v>13</v>
      </c>
    </row>
    <row r="52" spans="1:8" x14ac:dyDescent="0.25">
      <c r="A52" s="1" t="s">
        <v>147</v>
      </c>
      <c r="B52" s="5" t="s">
        <v>186</v>
      </c>
      <c r="C52" s="5">
        <v>5</v>
      </c>
      <c r="D52" s="4">
        <v>500</v>
      </c>
      <c r="E52" s="4">
        <f t="shared" si="0"/>
        <v>0</v>
      </c>
      <c r="F52" s="4">
        <v>9</v>
      </c>
      <c r="G52" s="4">
        <v>11</v>
      </c>
      <c r="H52" s="4">
        <v>13</v>
      </c>
    </row>
    <row r="53" spans="1:8" x14ac:dyDescent="0.25">
      <c r="A53" s="3" t="s">
        <v>148</v>
      </c>
      <c r="B53" s="5" t="s">
        <v>186</v>
      </c>
      <c r="C53" s="5">
        <v>5</v>
      </c>
      <c r="D53" s="4">
        <v>500</v>
      </c>
      <c r="E53" s="4">
        <f t="shared" si="0"/>
        <v>0</v>
      </c>
      <c r="F53" s="4">
        <v>9</v>
      </c>
      <c r="G53" s="4">
        <v>11</v>
      </c>
      <c r="H53" s="4">
        <v>13</v>
      </c>
    </row>
    <row r="54" spans="1:8" x14ac:dyDescent="0.25">
      <c r="A54" s="3" t="s">
        <v>179</v>
      </c>
      <c r="B54" s="5" t="s">
        <v>186</v>
      </c>
      <c r="C54" s="4">
        <v>5</v>
      </c>
      <c r="D54" s="4">
        <v>500</v>
      </c>
      <c r="E54" s="4">
        <f t="shared" si="0"/>
        <v>0</v>
      </c>
      <c r="F54" s="4">
        <v>9</v>
      </c>
      <c r="G54" s="4">
        <v>11</v>
      </c>
      <c r="H54" s="4">
        <v>13</v>
      </c>
    </row>
    <row r="55" spans="1:8" x14ac:dyDescent="0.25">
      <c r="A55" s="3" t="s">
        <v>199</v>
      </c>
      <c r="B55" s="3" t="s">
        <v>187</v>
      </c>
      <c r="C55" s="4">
        <v>5</v>
      </c>
      <c r="D55" s="4">
        <v>1000</v>
      </c>
      <c r="E55" s="4">
        <f t="shared" si="0"/>
        <v>0</v>
      </c>
      <c r="F55" s="4">
        <v>9</v>
      </c>
      <c r="G55" s="4">
        <v>11</v>
      </c>
      <c r="H55" s="4">
        <v>13</v>
      </c>
    </row>
    <row r="56" spans="1:8" x14ac:dyDescent="0.25">
      <c r="A56" s="3" t="s">
        <v>195</v>
      </c>
      <c r="B56" s="5" t="s">
        <v>187</v>
      </c>
      <c r="C56" s="4">
        <v>5</v>
      </c>
      <c r="D56" s="4">
        <v>1000</v>
      </c>
      <c r="E56" s="4">
        <f t="shared" si="0"/>
        <v>0</v>
      </c>
      <c r="F56" s="4">
        <v>9</v>
      </c>
      <c r="G56" s="4">
        <v>11</v>
      </c>
      <c r="H56" s="4">
        <v>13</v>
      </c>
    </row>
    <row r="57" spans="1:8" x14ac:dyDescent="0.25">
      <c r="A57" s="3" t="s">
        <v>149</v>
      </c>
      <c r="B57" s="5" t="s">
        <v>186</v>
      </c>
      <c r="C57" s="4">
        <v>5</v>
      </c>
      <c r="D57" s="4">
        <v>1000</v>
      </c>
      <c r="E57" s="4">
        <f t="shared" si="0"/>
        <v>0</v>
      </c>
      <c r="F57" s="4">
        <v>9</v>
      </c>
      <c r="G57" s="4">
        <v>11</v>
      </c>
      <c r="H57" s="4">
        <v>13</v>
      </c>
    </row>
    <row r="58" spans="1:8" x14ac:dyDescent="0.25">
      <c r="A58" s="5" t="s">
        <v>150</v>
      </c>
      <c r="B58" s="5" t="s">
        <v>186</v>
      </c>
      <c r="C58" s="5">
        <v>5</v>
      </c>
      <c r="D58" s="4">
        <v>1000</v>
      </c>
      <c r="E58" s="4">
        <f t="shared" si="0"/>
        <v>0</v>
      </c>
      <c r="F58" s="4">
        <v>9</v>
      </c>
      <c r="G58" s="4">
        <v>11</v>
      </c>
      <c r="H58" s="4">
        <v>13</v>
      </c>
    </row>
    <row r="59" spans="1:8" x14ac:dyDescent="0.25">
      <c r="A59" s="3" t="s">
        <v>151</v>
      </c>
      <c r="B59" s="5" t="s">
        <v>186</v>
      </c>
      <c r="C59" s="5">
        <v>5</v>
      </c>
      <c r="D59" s="4">
        <v>1000</v>
      </c>
      <c r="E59" s="4">
        <f t="shared" si="0"/>
        <v>0</v>
      </c>
      <c r="F59" s="4">
        <v>9</v>
      </c>
      <c r="G59" s="4">
        <v>11</v>
      </c>
      <c r="H59" s="4">
        <v>13</v>
      </c>
    </row>
    <row r="60" spans="1:8" x14ac:dyDescent="0.25">
      <c r="A60" s="5" t="s">
        <v>152</v>
      </c>
      <c r="B60" s="5" t="s">
        <v>186</v>
      </c>
      <c r="C60" s="5">
        <v>5</v>
      </c>
      <c r="D60" s="4">
        <v>1000</v>
      </c>
      <c r="E60" s="4">
        <f t="shared" si="0"/>
        <v>0</v>
      </c>
      <c r="F60" s="4">
        <v>9</v>
      </c>
      <c r="G60" s="4">
        <v>11</v>
      </c>
      <c r="H60" s="4">
        <v>13</v>
      </c>
    </row>
    <row r="61" spans="1:8" x14ac:dyDescent="0.25">
      <c r="A61" s="3" t="s">
        <v>153</v>
      </c>
      <c r="B61" s="5" t="s">
        <v>186</v>
      </c>
      <c r="C61" s="4">
        <v>5</v>
      </c>
      <c r="D61" s="4">
        <v>1000</v>
      </c>
      <c r="E61" s="4">
        <f t="shared" si="0"/>
        <v>0</v>
      </c>
      <c r="F61" s="4">
        <v>9</v>
      </c>
      <c r="G61" s="4">
        <v>11</v>
      </c>
      <c r="H61" s="4">
        <v>13</v>
      </c>
    </row>
    <row r="62" spans="1:8" x14ac:dyDescent="0.25">
      <c r="A62" s="1" t="s">
        <v>154</v>
      </c>
      <c r="B62" s="5" t="s">
        <v>186</v>
      </c>
      <c r="C62" s="5">
        <v>5</v>
      </c>
      <c r="D62" s="4">
        <v>1000</v>
      </c>
      <c r="E62" s="4">
        <f t="shared" si="0"/>
        <v>0</v>
      </c>
      <c r="F62" s="4">
        <v>9</v>
      </c>
      <c r="G62" s="4">
        <v>11</v>
      </c>
      <c r="H62" s="4">
        <v>13</v>
      </c>
    </row>
    <row r="63" spans="1:8" x14ac:dyDescent="0.25">
      <c r="A63" s="3" t="s">
        <v>155</v>
      </c>
      <c r="B63" s="5" t="s">
        <v>186</v>
      </c>
      <c r="C63" s="5">
        <v>5</v>
      </c>
      <c r="D63" s="4">
        <v>1000</v>
      </c>
      <c r="E63" s="4">
        <f t="shared" si="0"/>
        <v>0</v>
      </c>
      <c r="F63" s="4">
        <v>9</v>
      </c>
      <c r="G63" s="4">
        <v>11</v>
      </c>
      <c r="H63" s="4">
        <v>13</v>
      </c>
    </row>
    <row r="64" spans="1:8" x14ac:dyDescent="0.25">
      <c r="A64" s="6" t="s">
        <v>156</v>
      </c>
      <c r="B64" s="5" t="s">
        <v>186</v>
      </c>
      <c r="C64" s="5">
        <v>5</v>
      </c>
      <c r="D64" s="4">
        <v>1000</v>
      </c>
      <c r="E64" s="4">
        <f t="shared" si="0"/>
        <v>0</v>
      </c>
      <c r="F64" s="4">
        <v>9</v>
      </c>
      <c r="G64" s="4">
        <v>11</v>
      </c>
      <c r="H64" s="4">
        <v>13</v>
      </c>
    </row>
    <row r="65" spans="1:8" x14ac:dyDescent="0.25">
      <c r="A65" s="3" t="s">
        <v>157</v>
      </c>
      <c r="B65" s="5" t="s">
        <v>186</v>
      </c>
      <c r="C65" s="4">
        <v>5</v>
      </c>
      <c r="D65" s="4">
        <v>1000</v>
      </c>
      <c r="E65" s="4">
        <f t="shared" si="0"/>
        <v>0</v>
      </c>
      <c r="F65" s="4">
        <v>9</v>
      </c>
      <c r="G65" s="4">
        <v>11</v>
      </c>
      <c r="H65" s="4">
        <v>13</v>
      </c>
    </row>
    <row r="66" spans="1:8" x14ac:dyDescent="0.25">
      <c r="A66" s="5" t="s">
        <v>158</v>
      </c>
      <c r="B66" s="5" t="s">
        <v>186</v>
      </c>
      <c r="C66" s="5">
        <v>5</v>
      </c>
      <c r="D66" s="4">
        <v>1000</v>
      </c>
      <c r="E66" s="4">
        <f t="shared" ref="E66:E129" si="1">IF(C66="N/A","N/A",IF(C66=5,0,IF(AND(C66=4,D66=250),36,IF(AND(C66=4,D66=500),18,IF(AND(C66=4,D66=1000),8,"MISSING INFO")))))</f>
        <v>0</v>
      </c>
      <c r="F66" s="4">
        <v>9</v>
      </c>
      <c r="G66" s="4">
        <v>11</v>
      </c>
      <c r="H66" s="4">
        <v>13</v>
      </c>
    </row>
    <row r="67" spans="1:8" x14ac:dyDescent="0.25">
      <c r="A67" s="3" t="s">
        <v>197</v>
      </c>
      <c r="B67" s="3" t="s">
        <v>187</v>
      </c>
      <c r="C67" s="4">
        <v>5</v>
      </c>
      <c r="D67" s="4">
        <v>1000</v>
      </c>
      <c r="E67" s="4">
        <f t="shared" si="1"/>
        <v>0</v>
      </c>
      <c r="F67" s="4">
        <v>9</v>
      </c>
      <c r="G67" s="4">
        <v>11</v>
      </c>
      <c r="H67" s="4">
        <v>13</v>
      </c>
    </row>
    <row r="68" spans="1:8" x14ac:dyDescent="0.25">
      <c r="A68" s="3" t="s">
        <v>198</v>
      </c>
      <c r="B68" s="3" t="s">
        <v>187</v>
      </c>
      <c r="C68" s="4">
        <v>5</v>
      </c>
      <c r="D68" s="4">
        <v>1000</v>
      </c>
      <c r="E68" s="4">
        <f t="shared" si="1"/>
        <v>0</v>
      </c>
      <c r="F68" s="4">
        <v>9</v>
      </c>
      <c r="G68" s="4">
        <v>11</v>
      </c>
      <c r="H68" s="4">
        <v>13</v>
      </c>
    </row>
    <row r="69" spans="1:8" x14ac:dyDescent="0.25">
      <c r="A69" s="3" t="s">
        <v>107</v>
      </c>
      <c r="B69" s="5" t="s">
        <v>186</v>
      </c>
      <c r="C69" s="4">
        <v>4</v>
      </c>
      <c r="D69" s="4">
        <v>250</v>
      </c>
      <c r="E69" s="4">
        <f t="shared" si="1"/>
        <v>36</v>
      </c>
      <c r="F69" s="4">
        <v>9</v>
      </c>
      <c r="G69" s="4">
        <v>11</v>
      </c>
      <c r="H69" s="4">
        <v>13</v>
      </c>
    </row>
    <row r="70" spans="1:8" x14ac:dyDescent="0.25">
      <c r="A70" s="6" t="s">
        <v>19</v>
      </c>
      <c r="B70" s="4" t="s">
        <v>16</v>
      </c>
      <c r="C70" s="5" t="s">
        <v>16</v>
      </c>
      <c r="D70" s="5" t="s">
        <v>16</v>
      </c>
      <c r="E70" s="4" t="str">
        <f t="shared" si="1"/>
        <v>N/A</v>
      </c>
      <c r="F70" s="5" t="s">
        <v>16</v>
      </c>
      <c r="G70" s="5" t="s">
        <v>16</v>
      </c>
      <c r="H70" s="5" t="s">
        <v>16</v>
      </c>
    </row>
    <row r="71" spans="1:8" x14ac:dyDescent="0.25">
      <c r="A71" s="3" t="s">
        <v>108</v>
      </c>
      <c r="B71" s="5" t="s">
        <v>186</v>
      </c>
      <c r="C71" s="5">
        <v>4</v>
      </c>
      <c r="D71" s="4">
        <v>500</v>
      </c>
      <c r="E71" s="4">
        <f t="shared" si="1"/>
        <v>18</v>
      </c>
      <c r="F71" s="4">
        <v>9</v>
      </c>
      <c r="G71" s="4">
        <v>11</v>
      </c>
      <c r="H71" s="4">
        <v>13</v>
      </c>
    </row>
    <row r="72" spans="1:8" x14ac:dyDescent="0.25">
      <c r="A72" s="5" t="s">
        <v>20</v>
      </c>
      <c r="B72" s="5" t="s">
        <v>186</v>
      </c>
      <c r="C72" s="5">
        <v>4</v>
      </c>
      <c r="D72" s="4">
        <v>500</v>
      </c>
      <c r="E72" s="4">
        <f t="shared" si="1"/>
        <v>18</v>
      </c>
      <c r="F72" s="4">
        <v>9</v>
      </c>
      <c r="G72" s="4">
        <v>11</v>
      </c>
      <c r="H72" s="4">
        <v>13</v>
      </c>
    </row>
    <row r="73" spans="1:8" x14ac:dyDescent="0.25">
      <c r="A73" s="3" t="s">
        <v>109</v>
      </c>
      <c r="B73" s="5" t="s">
        <v>186</v>
      </c>
      <c r="C73" s="4">
        <v>4</v>
      </c>
      <c r="D73" s="4">
        <v>500</v>
      </c>
      <c r="E73" s="4">
        <f t="shared" si="1"/>
        <v>18</v>
      </c>
      <c r="F73" s="4">
        <v>9</v>
      </c>
      <c r="G73" s="4">
        <v>11</v>
      </c>
      <c r="H73" s="4">
        <v>13</v>
      </c>
    </row>
    <row r="74" spans="1:8" x14ac:dyDescent="0.25">
      <c r="A74" s="1" t="s">
        <v>21</v>
      </c>
      <c r="B74" s="5" t="s">
        <v>186</v>
      </c>
      <c r="C74" s="1">
        <v>4</v>
      </c>
      <c r="D74" s="4">
        <v>500</v>
      </c>
      <c r="E74" s="4">
        <f t="shared" si="1"/>
        <v>18</v>
      </c>
      <c r="F74" s="4">
        <v>9</v>
      </c>
      <c r="G74" s="4">
        <v>11</v>
      </c>
      <c r="H74" s="4">
        <v>13</v>
      </c>
    </row>
    <row r="75" spans="1:8" x14ac:dyDescent="0.25">
      <c r="A75" s="3" t="s">
        <v>110</v>
      </c>
      <c r="B75" s="5" t="s">
        <v>186</v>
      </c>
      <c r="C75" s="4">
        <v>4</v>
      </c>
      <c r="D75" s="4">
        <v>250</v>
      </c>
      <c r="E75" s="4">
        <f t="shared" si="1"/>
        <v>36</v>
      </c>
      <c r="F75" s="4">
        <v>9</v>
      </c>
      <c r="G75" s="4">
        <v>11</v>
      </c>
      <c r="H75" s="4">
        <v>13</v>
      </c>
    </row>
    <row r="76" spans="1:8" x14ac:dyDescent="0.25">
      <c r="A76" s="1" t="s">
        <v>22</v>
      </c>
      <c r="B76" s="5" t="s">
        <v>186</v>
      </c>
      <c r="C76" s="5">
        <v>4</v>
      </c>
      <c r="D76" s="4">
        <v>500</v>
      </c>
      <c r="E76" s="4">
        <f t="shared" si="1"/>
        <v>18</v>
      </c>
      <c r="F76" s="4">
        <v>9</v>
      </c>
      <c r="G76" s="4">
        <v>11</v>
      </c>
      <c r="H76" s="4">
        <v>13</v>
      </c>
    </row>
    <row r="77" spans="1:8" x14ac:dyDescent="0.25">
      <c r="A77" s="3" t="s">
        <v>111</v>
      </c>
      <c r="B77" s="5" t="s">
        <v>186</v>
      </c>
      <c r="C77" s="4">
        <v>4</v>
      </c>
      <c r="D77" s="4">
        <v>500</v>
      </c>
      <c r="E77" s="4">
        <f t="shared" si="1"/>
        <v>18</v>
      </c>
      <c r="F77" s="4">
        <v>9</v>
      </c>
      <c r="G77" s="4">
        <v>11</v>
      </c>
      <c r="H77" s="4">
        <v>13</v>
      </c>
    </row>
    <row r="78" spans="1:8" x14ac:dyDescent="0.25">
      <c r="A78" s="1" t="s">
        <v>23</v>
      </c>
      <c r="B78" s="4" t="s">
        <v>16</v>
      </c>
      <c r="C78" s="5" t="s">
        <v>16</v>
      </c>
      <c r="D78" s="5" t="s">
        <v>16</v>
      </c>
      <c r="E78" s="4" t="str">
        <f t="shared" si="1"/>
        <v>N/A</v>
      </c>
      <c r="F78" s="5" t="s">
        <v>16</v>
      </c>
      <c r="G78" s="5" t="s">
        <v>16</v>
      </c>
      <c r="H78" s="5" t="s">
        <v>16</v>
      </c>
    </row>
    <row r="79" spans="1:8" x14ac:dyDescent="0.25">
      <c r="A79" s="3" t="s">
        <v>112</v>
      </c>
      <c r="B79" s="4" t="s">
        <v>16</v>
      </c>
      <c r="C79" s="4" t="s">
        <v>16</v>
      </c>
      <c r="D79" s="5" t="s">
        <v>16</v>
      </c>
      <c r="E79" s="4" t="str">
        <f t="shared" si="1"/>
        <v>N/A</v>
      </c>
      <c r="F79" s="5" t="s">
        <v>16</v>
      </c>
      <c r="G79" s="5" t="s">
        <v>16</v>
      </c>
      <c r="H79" s="5" t="s">
        <v>16</v>
      </c>
    </row>
    <row r="80" spans="1:8" x14ac:dyDescent="0.25">
      <c r="A80" s="1" t="s">
        <v>24</v>
      </c>
      <c r="B80" s="4" t="s">
        <v>16</v>
      </c>
      <c r="C80" s="5" t="s">
        <v>16</v>
      </c>
      <c r="D80" s="5" t="s">
        <v>16</v>
      </c>
      <c r="E80" s="4" t="str">
        <f t="shared" si="1"/>
        <v>N/A</v>
      </c>
      <c r="F80" s="5" t="s">
        <v>16</v>
      </c>
      <c r="G80" s="5" t="s">
        <v>16</v>
      </c>
      <c r="H80" s="5" t="s">
        <v>16</v>
      </c>
    </row>
    <row r="81" spans="1:8" x14ac:dyDescent="0.25">
      <c r="A81" s="3" t="s">
        <v>113</v>
      </c>
      <c r="B81" s="5" t="s">
        <v>186</v>
      </c>
      <c r="C81" s="5">
        <v>4</v>
      </c>
      <c r="D81" s="4">
        <v>500</v>
      </c>
      <c r="E81" s="4">
        <f t="shared" si="1"/>
        <v>18</v>
      </c>
      <c r="F81" s="4">
        <v>9</v>
      </c>
      <c r="G81" s="4">
        <v>11</v>
      </c>
      <c r="H81" s="4">
        <v>13</v>
      </c>
    </row>
    <row r="82" spans="1:8" x14ac:dyDescent="0.25">
      <c r="A82" s="5" t="s">
        <v>25</v>
      </c>
      <c r="B82" s="5" t="s">
        <v>186</v>
      </c>
      <c r="C82" s="5">
        <v>4</v>
      </c>
      <c r="D82" s="4">
        <v>500</v>
      </c>
      <c r="E82" s="4">
        <f t="shared" si="1"/>
        <v>18</v>
      </c>
      <c r="F82" s="4">
        <v>9</v>
      </c>
      <c r="G82" s="4">
        <v>11</v>
      </c>
      <c r="H82" s="4">
        <v>13</v>
      </c>
    </row>
    <row r="83" spans="1:8" x14ac:dyDescent="0.25">
      <c r="A83" s="5" t="s">
        <v>171</v>
      </c>
      <c r="B83" s="5" t="s">
        <v>186</v>
      </c>
      <c r="C83" s="5">
        <v>4</v>
      </c>
      <c r="D83" s="4">
        <v>500</v>
      </c>
      <c r="E83" s="4">
        <f t="shared" si="1"/>
        <v>18</v>
      </c>
      <c r="F83" s="4">
        <v>9</v>
      </c>
      <c r="G83" s="4">
        <v>11</v>
      </c>
      <c r="H83" s="4">
        <v>13</v>
      </c>
    </row>
    <row r="84" spans="1:8" x14ac:dyDescent="0.25">
      <c r="A84" s="3" t="s">
        <v>114</v>
      </c>
      <c r="B84" s="5" t="s">
        <v>186</v>
      </c>
      <c r="C84" s="4">
        <v>4</v>
      </c>
      <c r="D84" s="4">
        <v>500</v>
      </c>
      <c r="E84" s="4">
        <f t="shared" si="1"/>
        <v>18</v>
      </c>
      <c r="F84" s="4">
        <v>9</v>
      </c>
      <c r="G84" s="4">
        <v>11</v>
      </c>
      <c r="H84" s="4">
        <v>13</v>
      </c>
    </row>
    <row r="85" spans="1:8" x14ac:dyDescent="0.25">
      <c r="A85" s="5" t="s">
        <v>26</v>
      </c>
      <c r="B85" s="5" t="s">
        <v>186</v>
      </c>
      <c r="C85" s="5">
        <v>4</v>
      </c>
      <c r="D85" s="4">
        <v>500</v>
      </c>
      <c r="E85" s="4">
        <f t="shared" si="1"/>
        <v>18</v>
      </c>
      <c r="F85" s="4">
        <v>9</v>
      </c>
      <c r="G85" s="4">
        <v>11</v>
      </c>
      <c r="H85" s="4">
        <v>13</v>
      </c>
    </row>
    <row r="86" spans="1:8" x14ac:dyDescent="0.25">
      <c r="A86" s="3" t="s">
        <v>115</v>
      </c>
      <c r="B86" s="5" t="s">
        <v>186</v>
      </c>
      <c r="C86" s="5">
        <v>4</v>
      </c>
      <c r="D86" s="4">
        <v>500</v>
      </c>
      <c r="E86" s="4">
        <f t="shared" si="1"/>
        <v>18</v>
      </c>
      <c r="F86" s="4">
        <v>9</v>
      </c>
      <c r="G86" s="4">
        <v>11</v>
      </c>
      <c r="H86" s="4">
        <v>13</v>
      </c>
    </row>
    <row r="87" spans="1:8" x14ac:dyDescent="0.25">
      <c r="A87" s="5" t="s">
        <v>27</v>
      </c>
      <c r="B87" s="4" t="s">
        <v>16</v>
      </c>
      <c r="C87" s="1" t="s">
        <v>16</v>
      </c>
      <c r="D87" s="1" t="s">
        <v>16</v>
      </c>
      <c r="E87" s="4" t="str">
        <f t="shared" si="1"/>
        <v>N/A</v>
      </c>
      <c r="F87" s="1" t="s">
        <v>16</v>
      </c>
      <c r="G87" s="1" t="s">
        <v>16</v>
      </c>
      <c r="H87" s="1" t="s">
        <v>16</v>
      </c>
    </row>
    <row r="88" spans="1:8" x14ac:dyDescent="0.25">
      <c r="A88" s="3" t="s">
        <v>116</v>
      </c>
      <c r="B88" s="5" t="s">
        <v>186</v>
      </c>
      <c r="C88" s="4">
        <v>4</v>
      </c>
      <c r="D88" s="4">
        <v>500</v>
      </c>
      <c r="E88" s="4">
        <f t="shared" si="1"/>
        <v>18</v>
      </c>
      <c r="F88" s="4">
        <v>9</v>
      </c>
      <c r="G88" s="4">
        <v>11</v>
      </c>
      <c r="H88" s="4">
        <v>13</v>
      </c>
    </row>
    <row r="89" spans="1:8" x14ac:dyDescent="0.25">
      <c r="A89" s="1" t="s">
        <v>117</v>
      </c>
      <c r="B89" s="4" t="s">
        <v>16</v>
      </c>
      <c r="C89" s="5" t="s">
        <v>16</v>
      </c>
      <c r="D89" s="1" t="s">
        <v>16</v>
      </c>
      <c r="E89" s="4" t="str">
        <f t="shared" si="1"/>
        <v>N/A</v>
      </c>
      <c r="F89" s="1" t="s">
        <v>16</v>
      </c>
      <c r="G89" s="1" t="s">
        <v>16</v>
      </c>
      <c r="H89" s="1" t="s">
        <v>16</v>
      </c>
    </row>
    <row r="90" spans="1:8" x14ac:dyDescent="0.25">
      <c r="A90" s="3" t="s">
        <v>64</v>
      </c>
      <c r="B90" s="5" t="s">
        <v>186</v>
      </c>
      <c r="C90" s="4">
        <v>4</v>
      </c>
      <c r="D90" s="4">
        <v>500</v>
      </c>
      <c r="E90" s="4">
        <f t="shared" si="1"/>
        <v>18</v>
      </c>
      <c r="F90" s="4">
        <v>9</v>
      </c>
      <c r="G90" s="4">
        <v>11</v>
      </c>
      <c r="H90" s="4">
        <v>13</v>
      </c>
    </row>
    <row r="91" spans="1:8" x14ac:dyDescent="0.25">
      <c r="A91" s="1" t="s">
        <v>28</v>
      </c>
      <c r="B91" s="4" t="s">
        <v>16</v>
      </c>
      <c r="C91" s="1" t="s">
        <v>16</v>
      </c>
      <c r="D91" s="1" t="s">
        <v>16</v>
      </c>
      <c r="E91" s="4" t="str">
        <f t="shared" si="1"/>
        <v>N/A</v>
      </c>
      <c r="F91" s="1" t="s">
        <v>16</v>
      </c>
      <c r="G91" s="1" t="s">
        <v>16</v>
      </c>
      <c r="H91" s="1" t="s">
        <v>16</v>
      </c>
    </row>
    <row r="92" spans="1:8" x14ac:dyDescent="0.25">
      <c r="A92" s="3" t="s">
        <v>65</v>
      </c>
      <c r="B92" s="4" t="s">
        <v>16</v>
      </c>
      <c r="C92" s="1" t="s">
        <v>16</v>
      </c>
      <c r="D92" s="1" t="s">
        <v>16</v>
      </c>
      <c r="E92" s="4" t="str">
        <f t="shared" si="1"/>
        <v>N/A</v>
      </c>
      <c r="F92" s="1" t="s">
        <v>16</v>
      </c>
      <c r="G92" s="1" t="s">
        <v>16</v>
      </c>
      <c r="H92" s="1" t="s">
        <v>16</v>
      </c>
    </row>
    <row r="93" spans="1:8" x14ac:dyDescent="0.25">
      <c r="A93" s="1" t="s">
        <v>29</v>
      </c>
      <c r="B93" s="4" t="s">
        <v>16</v>
      </c>
      <c r="C93" s="1" t="s">
        <v>16</v>
      </c>
      <c r="D93" s="1" t="s">
        <v>16</v>
      </c>
      <c r="E93" s="4" t="str">
        <f t="shared" si="1"/>
        <v>N/A</v>
      </c>
      <c r="F93" s="1" t="s">
        <v>16</v>
      </c>
      <c r="G93" s="1" t="s">
        <v>16</v>
      </c>
      <c r="H93" s="1" t="s">
        <v>16</v>
      </c>
    </row>
    <row r="94" spans="1:8" x14ac:dyDescent="0.25">
      <c r="A94" s="3" t="s">
        <v>66</v>
      </c>
      <c r="B94" s="5" t="s">
        <v>186</v>
      </c>
      <c r="C94" s="5">
        <v>4</v>
      </c>
      <c r="D94" s="4">
        <v>500</v>
      </c>
      <c r="E94" s="4">
        <f t="shared" si="1"/>
        <v>18</v>
      </c>
      <c r="F94" s="4">
        <v>9</v>
      </c>
      <c r="G94" s="4">
        <v>11</v>
      </c>
      <c r="H94" s="4">
        <v>13</v>
      </c>
    </row>
    <row r="95" spans="1:8" x14ac:dyDescent="0.25">
      <c r="A95" s="1" t="s">
        <v>30</v>
      </c>
      <c r="B95" s="5" t="s">
        <v>186</v>
      </c>
      <c r="C95" s="1">
        <v>4</v>
      </c>
      <c r="D95" s="4">
        <v>500</v>
      </c>
      <c r="E95" s="4">
        <f t="shared" si="1"/>
        <v>18</v>
      </c>
      <c r="F95" s="4">
        <v>9</v>
      </c>
      <c r="G95" s="4">
        <v>11</v>
      </c>
      <c r="H95" s="4">
        <v>13</v>
      </c>
    </row>
    <row r="96" spans="1:8" x14ac:dyDescent="0.25">
      <c r="A96" s="3" t="s">
        <v>67</v>
      </c>
      <c r="B96" s="5" t="s">
        <v>186</v>
      </c>
      <c r="C96" s="5">
        <v>4</v>
      </c>
      <c r="D96" s="4">
        <v>500</v>
      </c>
      <c r="E96" s="4">
        <f t="shared" si="1"/>
        <v>18</v>
      </c>
      <c r="F96" s="4">
        <v>9</v>
      </c>
      <c r="G96" s="4">
        <v>11</v>
      </c>
      <c r="H96" s="4">
        <v>13</v>
      </c>
    </row>
    <row r="97" spans="1:8" x14ac:dyDescent="0.25">
      <c r="A97" s="1" t="s">
        <v>31</v>
      </c>
      <c r="B97" s="5" t="s">
        <v>186</v>
      </c>
      <c r="C97" s="1">
        <v>4</v>
      </c>
      <c r="D97" s="4">
        <v>500</v>
      </c>
      <c r="E97" s="4">
        <f t="shared" si="1"/>
        <v>18</v>
      </c>
      <c r="F97" s="4">
        <v>9</v>
      </c>
      <c r="G97" s="4">
        <v>11</v>
      </c>
      <c r="H97" s="4">
        <v>13</v>
      </c>
    </row>
    <row r="98" spans="1:8" x14ac:dyDescent="0.25">
      <c r="A98" s="3" t="s">
        <v>68</v>
      </c>
      <c r="B98" s="5" t="s">
        <v>186</v>
      </c>
      <c r="C98" s="4">
        <v>4</v>
      </c>
      <c r="D98" s="4">
        <v>500</v>
      </c>
      <c r="E98" s="4">
        <f t="shared" si="1"/>
        <v>18</v>
      </c>
      <c r="F98" s="4">
        <v>9</v>
      </c>
      <c r="G98" s="4">
        <v>11</v>
      </c>
      <c r="H98" s="4">
        <v>13</v>
      </c>
    </row>
    <row r="99" spans="1:8" x14ac:dyDescent="0.25">
      <c r="A99" s="1" t="s">
        <v>32</v>
      </c>
      <c r="B99" s="5" t="s">
        <v>186</v>
      </c>
      <c r="C99" s="1">
        <v>4</v>
      </c>
      <c r="D99" s="4">
        <v>500</v>
      </c>
      <c r="E99" s="4">
        <f t="shared" si="1"/>
        <v>18</v>
      </c>
      <c r="F99" s="4">
        <v>9</v>
      </c>
      <c r="G99" s="4">
        <v>11</v>
      </c>
      <c r="H99" s="4">
        <v>13</v>
      </c>
    </row>
    <row r="100" spans="1:8" x14ac:dyDescent="0.25">
      <c r="A100" s="3" t="s">
        <v>69</v>
      </c>
      <c r="B100" s="4" t="s">
        <v>16</v>
      </c>
      <c r="C100" s="5" t="s">
        <v>16</v>
      </c>
      <c r="D100" s="5" t="s">
        <v>16</v>
      </c>
      <c r="E100" s="4" t="str">
        <f t="shared" si="1"/>
        <v>N/A</v>
      </c>
      <c r="F100" s="5" t="s">
        <v>16</v>
      </c>
      <c r="G100" s="5" t="s">
        <v>16</v>
      </c>
      <c r="H100" s="5" t="s">
        <v>16</v>
      </c>
    </row>
    <row r="101" spans="1:8" x14ac:dyDescent="0.25">
      <c r="A101" s="1" t="s">
        <v>33</v>
      </c>
      <c r="B101" s="4" t="s">
        <v>16</v>
      </c>
      <c r="C101" s="5" t="s">
        <v>16</v>
      </c>
      <c r="D101" s="5" t="s">
        <v>16</v>
      </c>
      <c r="E101" s="4" t="str">
        <f t="shared" si="1"/>
        <v>N/A</v>
      </c>
      <c r="F101" s="5" t="s">
        <v>16</v>
      </c>
      <c r="G101" s="5" t="s">
        <v>16</v>
      </c>
      <c r="H101" s="5" t="s">
        <v>16</v>
      </c>
    </row>
    <row r="102" spans="1:8" x14ac:dyDescent="0.25">
      <c r="A102" s="3" t="s">
        <v>70</v>
      </c>
      <c r="B102" s="5" t="s">
        <v>186</v>
      </c>
      <c r="C102" s="5">
        <v>4</v>
      </c>
      <c r="D102" s="4">
        <v>500</v>
      </c>
      <c r="E102" s="4">
        <f t="shared" si="1"/>
        <v>18</v>
      </c>
      <c r="F102" s="4">
        <v>9</v>
      </c>
      <c r="G102" s="4">
        <v>11</v>
      </c>
      <c r="H102" s="4">
        <v>13</v>
      </c>
    </row>
    <row r="103" spans="1:8" x14ac:dyDescent="0.25">
      <c r="A103" s="1" t="s">
        <v>34</v>
      </c>
      <c r="B103" s="5" t="s">
        <v>186</v>
      </c>
      <c r="C103" s="5">
        <v>5</v>
      </c>
      <c r="D103" s="4">
        <v>1000</v>
      </c>
      <c r="E103" s="4">
        <f t="shared" si="1"/>
        <v>0</v>
      </c>
      <c r="F103" s="4">
        <v>9</v>
      </c>
      <c r="G103" s="4">
        <v>11</v>
      </c>
      <c r="H103" s="4">
        <v>13</v>
      </c>
    </row>
    <row r="104" spans="1:8" x14ac:dyDescent="0.25">
      <c r="A104" s="3" t="s">
        <v>71</v>
      </c>
      <c r="B104" s="5" t="s">
        <v>186</v>
      </c>
      <c r="C104" s="4">
        <v>4</v>
      </c>
      <c r="D104" s="4">
        <v>500</v>
      </c>
      <c r="E104" s="4">
        <f t="shared" si="1"/>
        <v>18</v>
      </c>
      <c r="F104" s="4">
        <v>9</v>
      </c>
      <c r="G104" s="4">
        <v>11</v>
      </c>
      <c r="H104" s="4">
        <v>13</v>
      </c>
    </row>
    <row r="105" spans="1:8" x14ac:dyDescent="0.25">
      <c r="A105" s="1" t="s">
        <v>35</v>
      </c>
      <c r="B105" s="5" t="s">
        <v>186</v>
      </c>
      <c r="C105" s="5">
        <v>4</v>
      </c>
      <c r="D105" s="4">
        <v>500</v>
      </c>
      <c r="E105" s="4">
        <f t="shared" si="1"/>
        <v>18</v>
      </c>
      <c r="F105" s="4">
        <v>9</v>
      </c>
      <c r="G105" s="4">
        <v>11</v>
      </c>
      <c r="H105" s="4">
        <v>13</v>
      </c>
    </row>
    <row r="106" spans="1:8" x14ac:dyDescent="0.25">
      <c r="A106" s="3" t="s">
        <v>72</v>
      </c>
      <c r="B106" s="5" t="s">
        <v>186</v>
      </c>
      <c r="C106" s="4">
        <v>4</v>
      </c>
      <c r="D106" s="4">
        <v>500</v>
      </c>
      <c r="E106" s="4">
        <f t="shared" si="1"/>
        <v>18</v>
      </c>
      <c r="F106" s="4">
        <v>9</v>
      </c>
      <c r="G106" s="4">
        <v>11</v>
      </c>
      <c r="H106" s="4">
        <v>13</v>
      </c>
    </row>
    <row r="107" spans="1:8" x14ac:dyDescent="0.25">
      <c r="A107" s="1" t="s">
        <v>36</v>
      </c>
      <c r="B107" s="4" t="s">
        <v>16</v>
      </c>
      <c r="C107" s="5" t="s">
        <v>16</v>
      </c>
      <c r="D107" s="5" t="s">
        <v>16</v>
      </c>
      <c r="E107" s="4" t="str">
        <f t="shared" si="1"/>
        <v>N/A</v>
      </c>
      <c r="F107" s="5" t="s">
        <v>16</v>
      </c>
      <c r="G107" s="5" t="s">
        <v>16</v>
      </c>
      <c r="H107" s="5" t="s">
        <v>16</v>
      </c>
    </row>
    <row r="108" spans="1:8" x14ac:dyDescent="0.25">
      <c r="A108" s="3" t="s">
        <v>73</v>
      </c>
      <c r="B108" s="5" t="s">
        <v>186</v>
      </c>
      <c r="C108" s="5">
        <v>4</v>
      </c>
      <c r="D108" s="4">
        <v>500</v>
      </c>
      <c r="E108" s="4">
        <f t="shared" si="1"/>
        <v>18</v>
      </c>
      <c r="F108" s="4">
        <v>9</v>
      </c>
      <c r="G108" s="4">
        <v>11</v>
      </c>
      <c r="H108" s="4">
        <v>13</v>
      </c>
    </row>
    <row r="109" spans="1:8" x14ac:dyDescent="0.25">
      <c r="A109" s="2" t="s">
        <v>37</v>
      </c>
      <c r="B109" s="5" t="s">
        <v>186</v>
      </c>
      <c r="C109" s="1">
        <v>4</v>
      </c>
      <c r="D109" s="4">
        <v>500</v>
      </c>
      <c r="E109" s="4">
        <f t="shared" si="1"/>
        <v>18</v>
      </c>
      <c r="F109" s="4">
        <v>9</v>
      </c>
      <c r="G109" s="4">
        <v>11</v>
      </c>
      <c r="H109" s="4">
        <v>13</v>
      </c>
    </row>
    <row r="110" spans="1:8" x14ac:dyDescent="0.25">
      <c r="A110" s="3" t="s">
        <v>74</v>
      </c>
      <c r="B110" s="5" t="s">
        <v>186</v>
      </c>
      <c r="C110" s="4">
        <v>4</v>
      </c>
      <c r="D110" s="4">
        <v>500</v>
      </c>
      <c r="E110" s="4">
        <f t="shared" si="1"/>
        <v>18</v>
      </c>
      <c r="F110" s="4">
        <v>9</v>
      </c>
      <c r="G110" s="4">
        <v>11</v>
      </c>
      <c r="H110" s="4">
        <v>13</v>
      </c>
    </row>
    <row r="111" spans="1:8" x14ac:dyDescent="0.25">
      <c r="A111" s="2" t="s">
        <v>38</v>
      </c>
      <c r="B111" s="4" t="s">
        <v>16</v>
      </c>
      <c r="C111" s="5" t="s">
        <v>16</v>
      </c>
      <c r="D111" s="5" t="s">
        <v>16</v>
      </c>
      <c r="E111" s="4" t="str">
        <f t="shared" si="1"/>
        <v>N/A</v>
      </c>
      <c r="F111" s="5" t="s">
        <v>16</v>
      </c>
      <c r="G111" s="5" t="s">
        <v>16</v>
      </c>
      <c r="H111" s="5" t="s">
        <v>16</v>
      </c>
    </row>
    <row r="112" spans="1:8" x14ac:dyDescent="0.25">
      <c r="A112" s="3" t="s">
        <v>75</v>
      </c>
      <c r="B112" s="5" t="s">
        <v>186</v>
      </c>
      <c r="C112" s="4">
        <v>4</v>
      </c>
      <c r="D112" s="4">
        <v>500</v>
      </c>
      <c r="E112" s="4">
        <f t="shared" si="1"/>
        <v>18</v>
      </c>
      <c r="F112" s="4">
        <v>9</v>
      </c>
      <c r="G112" s="4">
        <v>11</v>
      </c>
      <c r="H112" s="4">
        <v>13</v>
      </c>
    </row>
    <row r="113" spans="1:8" x14ac:dyDescent="0.25">
      <c r="A113" s="2" t="s">
        <v>39</v>
      </c>
      <c r="B113" s="4" t="s">
        <v>16</v>
      </c>
      <c r="C113" s="5" t="s">
        <v>16</v>
      </c>
      <c r="D113" s="5" t="s">
        <v>16</v>
      </c>
      <c r="E113" s="4" t="str">
        <f t="shared" si="1"/>
        <v>N/A</v>
      </c>
      <c r="F113" s="5" t="s">
        <v>16</v>
      </c>
      <c r="G113" s="5" t="s">
        <v>16</v>
      </c>
      <c r="H113" s="5" t="s">
        <v>16</v>
      </c>
    </row>
    <row r="114" spans="1:8" x14ac:dyDescent="0.25">
      <c r="A114" s="3" t="s">
        <v>76</v>
      </c>
      <c r="B114" s="5" t="s">
        <v>186</v>
      </c>
      <c r="C114" s="5">
        <v>4</v>
      </c>
      <c r="D114" s="4">
        <v>500</v>
      </c>
      <c r="E114" s="4">
        <f t="shared" si="1"/>
        <v>18</v>
      </c>
      <c r="F114" s="4">
        <v>9</v>
      </c>
      <c r="G114" s="4">
        <v>11</v>
      </c>
      <c r="H114" s="4">
        <v>13</v>
      </c>
    </row>
    <row r="115" spans="1:8" x14ac:dyDescent="0.25">
      <c r="A115" s="2" t="s">
        <v>40</v>
      </c>
      <c r="B115" s="4" t="s">
        <v>16</v>
      </c>
      <c r="C115" s="5" t="s">
        <v>16</v>
      </c>
      <c r="D115" s="5" t="s">
        <v>16</v>
      </c>
      <c r="E115" s="4" t="str">
        <f t="shared" si="1"/>
        <v>N/A</v>
      </c>
      <c r="F115" s="5" t="s">
        <v>16</v>
      </c>
      <c r="G115" s="5" t="s">
        <v>16</v>
      </c>
      <c r="H115" s="5" t="s">
        <v>16</v>
      </c>
    </row>
    <row r="116" spans="1:8" x14ac:dyDescent="0.25">
      <c r="A116" s="3" t="s">
        <v>77</v>
      </c>
      <c r="B116" s="5" t="s">
        <v>186</v>
      </c>
      <c r="C116" s="5">
        <v>4</v>
      </c>
      <c r="D116" s="4">
        <v>500</v>
      </c>
      <c r="E116" s="4">
        <f t="shared" si="1"/>
        <v>18</v>
      </c>
      <c r="F116" s="4">
        <v>9</v>
      </c>
      <c r="G116" s="4">
        <v>11</v>
      </c>
      <c r="H116" s="4">
        <v>13</v>
      </c>
    </row>
    <row r="117" spans="1:8" x14ac:dyDescent="0.25">
      <c r="A117" s="2" t="s">
        <v>41</v>
      </c>
      <c r="B117" s="5" t="s">
        <v>186</v>
      </c>
      <c r="C117" s="1">
        <v>4</v>
      </c>
      <c r="D117" s="4">
        <v>500</v>
      </c>
      <c r="E117" s="4">
        <f t="shared" si="1"/>
        <v>18</v>
      </c>
      <c r="F117" s="4">
        <v>9</v>
      </c>
      <c r="G117" s="4">
        <v>11</v>
      </c>
      <c r="H117" s="4">
        <v>13</v>
      </c>
    </row>
    <row r="118" spans="1:8" x14ac:dyDescent="0.25">
      <c r="A118" s="3" t="s">
        <v>78</v>
      </c>
      <c r="B118" s="5" t="s">
        <v>186</v>
      </c>
      <c r="C118" s="5">
        <v>4</v>
      </c>
      <c r="D118" s="4">
        <v>500</v>
      </c>
      <c r="E118" s="4">
        <f t="shared" si="1"/>
        <v>18</v>
      </c>
      <c r="F118" s="4">
        <v>9</v>
      </c>
      <c r="G118" s="4">
        <v>11</v>
      </c>
      <c r="H118" s="4">
        <v>13</v>
      </c>
    </row>
    <row r="119" spans="1:8" x14ac:dyDescent="0.25">
      <c r="A119" s="2" t="s">
        <v>42</v>
      </c>
      <c r="B119" s="5" t="s">
        <v>186</v>
      </c>
      <c r="C119" s="1">
        <v>5</v>
      </c>
      <c r="D119" s="4">
        <v>500</v>
      </c>
      <c r="E119" s="4">
        <f t="shared" si="1"/>
        <v>0</v>
      </c>
      <c r="F119" s="4">
        <v>9</v>
      </c>
      <c r="G119" s="4">
        <v>11</v>
      </c>
      <c r="H119" s="4">
        <v>13</v>
      </c>
    </row>
    <row r="120" spans="1:8" x14ac:dyDescent="0.25">
      <c r="A120" s="3" t="s">
        <v>79</v>
      </c>
      <c r="B120" s="5" t="s">
        <v>186</v>
      </c>
      <c r="C120" s="5">
        <v>4</v>
      </c>
      <c r="D120" s="4">
        <v>500</v>
      </c>
      <c r="E120" s="4">
        <f t="shared" si="1"/>
        <v>18</v>
      </c>
      <c r="F120" s="4">
        <v>9</v>
      </c>
      <c r="G120" s="4">
        <v>11</v>
      </c>
      <c r="H120" s="4">
        <v>13</v>
      </c>
    </row>
    <row r="121" spans="1:8" x14ac:dyDescent="0.25">
      <c r="A121" s="2" t="s">
        <v>43</v>
      </c>
      <c r="B121" s="5" t="s">
        <v>186</v>
      </c>
      <c r="C121" s="2">
        <v>4</v>
      </c>
      <c r="D121" s="4">
        <v>500</v>
      </c>
      <c r="E121" s="4">
        <f t="shared" si="1"/>
        <v>18</v>
      </c>
      <c r="F121" s="4">
        <v>9</v>
      </c>
      <c r="G121" s="4">
        <v>11</v>
      </c>
      <c r="H121" s="4">
        <v>13</v>
      </c>
    </row>
    <row r="122" spans="1:8" x14ac:dyDescent="0.25">
      <c r="A122" s="3" t="s">
        <v>80</v>
      </c>
      <c r="B122" s="5" t="s">
        <v>186</v>
      </c>
      <c r="C122" s="5">
        <v>4</v>
      </c>
      <c r="D122" s="4">
        <v>500</v>
      </c>
      <c r="E122" s="4">
        <f t="shared" si="1"/>
        <v>18</v>
      </c>
      <c r="F122" s="4">
        <v>9</v>
      </c>
      <c r="G122" s="4">
        <v>11</v>
      </c>
      <c r="H122" s="4">
        <v>13</v>
      </c>
    </row>
    <row r="123" spans="1:8" x14ac:dyDescent="0.25">
      <c r="A123" s="3" t="s">
        <v>44</v>
      </c>
      <c r="B123" s="4" t="s">
        <v>16</v>
      </c>
      <c r="C123" s="4" t="s">
        <v>16</v>
      </c>
      <c r="D123" s="4" t="s">
        <v>16</v>
      </c>
      <c r="E123" s="4" t="str">
        <f t="shared" si="1"/>
        <v>N/A</v>
      </c>
      <c r="F123" s="4" t="s">
        <v>16</v>
      </c>
      <c r="G123" s="4" t="s">
        <v>16</v>
      </c>
      <c r="H123" s="4" t="s">
        <v>16</v>
      </c>
    </row>
    <row r="124" spans="1:8" x14ac:dyDescent="0.25">
      <c r="A124" s="2" t="s">
        <v>81</v>
      </c>
      <c r="B124" s="5" t="s">
        <v>186</v>
      </c>
      <c r="C124" s="1">
        <v>4</v>
      </c>
      <c r="D124" s="4">
        <v>500</v>
      </c>
      <c r="E124" s="4">
        <f t="shared" si="1"/>
        <v>18</v>
      </c>
      <c r="F124" s="4">
        <v>9</v>
      </c>
      <c r="G124" s="4">
        <v>11</v>
      </c>
      <c r="H124" s="4">
        <v>13</v>
      </c>
    </row>
    <row r="125" spans="1:8" x14ac:dyDescent="0.25">
      <c r="A125" s="3" t="s">
        <v>45</v>
      </c>
      <c r="B125" s="4" t="s">
        <v>16</v>
      </c>
      <c r="C125" s="5" t="s">
        <v>16</v>
      </c>
      <c r="D125" s="4" t="s">
        <v>16</v>
      </c>
      <c r="E125" s="4" t="str">
        <f t="shared" si="1"/>
        <v>N/A</v>
      </c>
      <c r="F125" s="4" t="s">
        <v>16</v>
      </c>
      <c r="G125" s="4" t="s">
        <v>16</v>
      </c>
      <c r="H125" s="4" t="s">
        <v>16</v>
      </c>
    </row>
    <row r="126" spans="1:8" x14ac:dyDescent="0.25">
      <c r="A126" s="3" t="s">
        <v>82</v>
      </c>
      <c r="B126" s="5" t="s">
        <v>186</v>
      </c>
      <c r="C126" s="4">
        <v>4</v>
      </c>
      <c r="D126" s="4">
        <v>500</v>
      </c>
      <c r="E126" s="4">
        <f t="shared" si="1"/>
        <v>18</v>
      </c>
      <c r="F126" s="4">
        <v>9</v>
      </c>
      <c r="G126" s="4">
        <v>11</v>
      </c>
      <c r="H126" s="4">
        <v>13</v>
      </c>
    </row>
    <row r="127" spans="1:8" x14ac:dyDescent="0.25">
      <c r="A127" s="3" t="s">
        <v>46</v>
      </c>
      <c r="B127" s="4" t="s">
        <v>16</v>
      </c>
      <c r="C127" s="4" t="s">
        <v>16</v>
      </c>
      <c r="D127" s="4" t="s">
        <v>16</v>
      </c>
      <c r="E127" s="4" t="str">
        <f t="shared" si="1"/>
        <v>N/A</v>
      </c>
      <c r="F127" s="4" t="s">
        <v>16</v>
      </c>
      <c r="G127" s="4" t="s">
        <v>16</v>
      </c>
      <c r="H127" s="4" t="s">
        <v>16</v>
      </c>
    </row>
    <row r="128" spans="1:8" x14ac:dyDescent="0.25">
      <c r="A128" s="3" t="s">
        <v>83</v>
      </c>
      <c r="B128" s="5" t="s">
        <v>186</v>
      </c>
      <c r="C128" s="4">
        <v>4</v>
      </c>
      <c r="D128" s="4">
        <v>500</v>
      </c>
      <c r="E128" s="4">
        <f t="shared" si="1"/>
        <v>18</v>
      </c>
      <c r="F128" s="4">
        <v>9</v>
      </c>
      <c r="G128" s="4">
        <v>11</v>
      </c>
      <c r="H128" s="4">
        <v>13</v>
      </c>
    </row>
    <row r="129" spans="1:8" x14ac:dyDescent="0.25">
      <c r="A129" s="3" t="s">
        <v>47</v>
      </c>
      <c r="B129" s="4" t="s">
        <v>16</v>
      </c>
      <c r="C129" s="4" t="s">
        <v>16</v>
      </c>
      <c r="D129" s="4" t="s">
        <v>16</v>
      </c>
      <c r="E129" s="4" t="str">
        <f t="shared" si="1"/>
        <v>N/A</v>
      </c>
      <c r="F129" s="4" t="s">
        <v>16</v>
      </c>
      <c r="G129" s="4" t="s">
        <v>16</v>
      </c>
      <c r="H129" s="4" t="s">
        <v>16</v>
      </c>
    </row>
    <row r="130" spans="1:8" x14ac:dyDescent="0.25">
      <c r="A130" s="3" t="s">
        <v>84</v>
      </c>
      <c r="B130" s="5" t="s">
        <v>186</v>
      </c>
      <c r="C130" s="4">
        <v>4</v>
      </c>
      <c r="D130" s="4">
        <v>500</v>
      </c>
      <c r="E130" s="4">
        <f t="shared" ref="E130:E165" si="2">IF(C130="N/A","N/A",IF(C130=5,0,IF(AND(C130=4,D130=250),36,IF(AND(C130=4,D130=500),18,IF(AND(C130=4,D130=1000),8,"MISSING INFO")))))</f>
        <v>18</v>
      </c>
      <c r="F130" s="4">
        <v>9</v>
      </c>
      <c r="G130" s="4">
        <v>11</v>
      </c>
      <c r="H130" s="4">
        <v>13</v>
      </c>
    </row>
    <row r="131" spans="1:8" x14ac:dyDescent="0.25">
      <c r="A131" s="3" t="s">
        <v>48</v>
      </c>
      <c r="B131" s="4" t="s">
        <v>16</v>
      </c>
      <c r="C131" s="4" t="s">
        <v>16</v>
      </c>
      <c r="D131" s="4" t="s">
        <v>16</v>
      </c>
      <c r="E131" s="4" t="str">
        <f t="shared" si="2"/>
        <v>N/A</v>
      </c>
      <c r="F131" s="4" t="s">
        <v>16</v>
      </c>
      <c r="G131" s="4" t="s">
        <v>16</v>
      </c>
      <c r="H131" s="4" t="s">
        <v>16</v>
      </c>
    </row>
    <row r="132" spans="1:8" x14ac:dyDescent="0.25">
      <c r="A132" s="3" t="s">
        <v>85</v>
      </c>
      <c r="B132" s="5" t="s">
        <v>186</v>
      </c>
      <c r="C132" s="4">
        <v>4</v>
      </c>
      <c r="D132" s="4">
        <v>500</v>
      </c>
      <c r="E132" s="4">
        <f t="shared" si="2"/>
        <v>18</v>
      </c>
      <c r="F132" s="4">
        <v>9</v>
      </c>
      <c r="G132" s="4">
        <v>11</v>
      </c>
      <c r="H132" s="4">
        <v>13</v>
      </c>
    </row>
    <row r="133" spans="1:8" x14ac:dyDescent="0.25">
      <c r="A133" s="3" t="s">
        <v>49</v>
      </c>
      <c r="B133" s="5" t="s">
        <v>186</v>
      </c>
      <c r="C133" s="4">
        <v>5</v>
      </c>
      <c r="D133" s="4">
        <v>500</v>
      </c>
      <c r="E133" s="4">
        <f t="shared" si="2"/>
        <v>0</v>
      </c>
      <c r="F133" s="4">
        <v>9</v>
      </c>
      <c r="G133" s="4">
        <v>11</v>
      </c>
      <c r="H133" s="4">
        <v>13</v>
      </c>
    </row>
    <row r="134" spans="1:8" x14ac:dyDescent="0.25">
      <c r="A134" s="3" t="s">
        <v>86</v>
      </c>
      <c r="B134" s="5" t="s">
        <v>186</v>
      </c>
      <c r="C134" s="4">
        <v>4</v>
      </c>
      <c r="D134" s="4">
        <v>500</v>
      </c>
      <c r="E134" s="4">
        <f t="shared" si="2"/>
        <v>18</v>
      </c>
      <c r="F134" s="4">
        <v>9</v>
      </c>
      <c r="G134" s="4">
        <v>11</v>
      </c>
      <c r="H134" s="4">
        <v>13</v>
      </c>
    </row>
    <row r="135" spans="1:8" x14ac:dyDescent="0.25">
      <c r="A135" s="3" t="s">
        <v>50</v>
      </c>
      <c r="B135" s="5" t="s">
        <v>186</v>
      </c>
      <c r="C135" s="4">
        <v>5</v>
      </c>
      <c r="D135" s="4">
        <v>500</v>
      </c>
      <c r="E135" s="4">
        <f t="shared" si="2"/>
        <v>0</v>
      </c>
      <c r="F135" s="4">
        <v>9</v>
      </c>
      <c r="G135" s="4">
        <v>11</v>
      </c>
      <c r="H135" s="4">
        <v>13</v>
      </c>
    </row>
    <row r="136" spans="1:8" x14ac:dyDescent="0.25">
      <c r="A136" s="3" t="s">
        <v>87</v>
      </c>
      <c r="B136" s="5" t="s">
        <v>186</v>
      </c>
      <c r="C136" s="4">
        <v>4</v>
      </c>
      <c r="D136" s="4">
        <v>500</v>
      </c>
      <c r="E136" s="4">
        <f t="shared" si="2"/>
        <v>18</v>
      </c>
      <c r="F136" s="4">
        <v>9</v>
      </c>
      <c r="G136" s="4">
        <v>11</v>
      </c>
      <c r="H136" s="4">
        <v>13</v>
      </c>
    </row>
    <row r="137" spans="1:8" x14ac:dyDescent="0.25">
      <c r="A137" s="3" t="s">
        <v>51</v>
      </c>
      <c r="B137" s="5" t="s">
        <v>186</v>
      </c>
      <c r="C137" s="4">
        <v>5</v>
      </c>
      <c r="D137" s="4">
        <v>1000</v>
      </c>
      <c r="E137" s="4">
        <f t="shared" si="2"/>
        <v>0</v>
      </c>
      <c r="F137" s="4">
        <v>9</v>
      </c>
      <c r="G137" s="4">
        <v>11</v>
      </c>
      <c r="H137" s="4">
        <v>13</v>
      </c>
    </row>
    <row r="138" spans="1:8" x14ac:dyDescent="0.25">
      <c r="A138" s="3" t="s">
        <v>88</v>
      </c>
      <c r="B138" s="5" t="s">
        <v>186</v>
      </c>
      <c r="C138" s="4">
        <v>5</v>
      </c>
      <c r="D138" s="4">
        <v>500</v>
      </c>
      <c r="E138" s="4">
        <f t="shared" si="2"/>
        <v>0</v>
      </c>
      <c r="F138" s="4">
        <v>9</v>
      </c>
      <c r="G138" s="4">
        <v>11</v>
      </c>
      <c r="H138" s="4">
        <v>13</v>
      </c>
    </row>
    <row r="139" spans="1:8" x14ac:dyDescent="0.25">
      <c r="A139" s="3" t="s">
        <v>52</v>
      </c>
      <c r="B139" s="4" t="s">
        <v>16</v>
      </c>
      <c r="C139" s="4" t="s">
        <v>16</v>
      </c>
      <c r="D139" s="4" t="s">
        <v>16</v>
      </c>
      <c r="E139" s="4" t="str">
        <f t="shared" si="2"/>
        <v>N/A</v>
      </c>
      <c r="F139" s="4" t="s">
        <v>16</v>
      </c>
      <c r="G139" s="4" t="s">
        <v>16</v>
      </c>
      <c r="H139" s="4" t="s">
        <v>16</v>
      </c>
    </row>
    <row r="140" spans="1:8" x14ac:dyDescent="0.25">
      <c r="A140" s="3" t="s">
        <v>89</v>
      </c>
      <c r="B140" s="5" t="s">
        <v>186</v>
      </c>
      <c r="C140" s="4">
        <v>5</v>
      </c>
      <c r="D140" s="4">
        <v>1000</v>
      </c>
      <c r="E140" s="4">
        <f t="shared" si="2"/>
        <v>0</v>
      </c>
      <c r="F140" s="4">
        <v>9</v>
      </c>
      <c r="G140" s="4">
        <v>11</v>
      </c>
      <c r="H140" s="4">
        <v>13</v>
      </c>
    </row>
    <row r="141" spans="1:8" x14ac:dyDescent="0.25">
      <c r="A141" s="3" t="s">
        <v>53</v>
      </c>
      <c r="B141" s="5" t="s">
        <v>186</v>
      </c>
      <c r="C141" s="4">
        <v>5</v>
      </c>
      <c r="D141" s="4">
        <v>1000</v>
      </c>
      <c r="E141" s="4">
        <f t="shared" si="2"/>
        <v>0</v>
      </c>
      <c r="F141" s="4">
        <v>9</v>
      </c>
      <c r="G141" s="4">
        <v>11</v>
      </c>
      <c r="H141" s="4">
        <v>13</v>
      </c>
    </row>
    <row r="142" spans="1:8" x14ac:dyDescent="0.25">
      <c r="A142" s="3" t="s">
        <v>90</v>
      </c>
      <c r="B142" s="5" t="s">
        <v>186</v>
      </c>
      <c r="C142" s="4">
        <v>5</v>
      </c>
      <c r="D142" s="4">
        <v>1000</v>
      </c>
      <c r="E142" s="4">
        <f t="shared" si="2"/>
        <v>0</v>
      </c>
      <c r="F142" s="4">
        <v>9</v>
      </c>
      <c r="G142" s="4">
        <v>11</v>
      </c>
      <c r="H142" s="4">
        <v>13</v>
      </c>
    </row>
    <row r="143" spans="1:8" x14ac:dyDescent="0.25">
      <c r="A143" s="3" t="s">
        <v>54</v>
      </c>
      <c r="B143" s="5" t="s">
        <v>186</v>
      </c>
      <c r="C143" s="4">
        <v>5</v>
      </c>
      <c r="D143" s="4">
        <v>1000</v>
      </c>
      <c r="E143" s="4">
        <f t="shared" si="2"/>
        <v>0</v>
      </c>
      <c r="F143" s="4">
        <v>9</v>
      </c>
      <c r="G143" s="4">
        <v>11</v>
      </c>
      <c r="H143" s="4">
        <v>13</v>
      </c>
    </row>
    <row r="144" spans="1:8" x14ac:dyDescent="0.25">
      <c r="A144" s="3" t="s">
        <v>91</v>
      </c>
      <c r="B144" s="5" t="s">
        <v>186</v>
      </c>
      <c r="C144" s="4">
        <v>5</v>
      </c>
      <c r="D144" s="4">
        <v>1000</v>
      </c>
      <c r="E144" s="4">
        <f t="shared" si="2"/>
        <v>0</v>
      </c>
      <c r="F144" s="4">
        <v>9</v>
      </c>
      <c r="G144" s="4">
        <v>11</v>
      </c>
      <c r="H144" s="4">
        <v>13</v>
      </c>
    </row>
    <row r="145" spans="1:8" x14ac:dyDescent="0.25">
      <c r="A145" s="3" t="s">
        <v>55</v>
      </c>
      <c r="B145" s="4" t="s">
        <v>16</v>
      </c>
      <c r="C145" s="4" t="s">
        <v>16</v>
      </c>
      <c r="D145" s="4" t="s">
        <v>16</v>
      </c>
      <c r="E145" s="4" t="str">
        <f t="shared" si="2"/>
        <v>N/A</v>
      </c>
      <c r="F145" s="4" t="s">
        <v>16</v>
      </c>
      <c r="G145" s="4" t="s">
        <v>16</v>
      </c>
      <c r="H145" s="4" t="s">
        <v>16</v>
      </c>
    </row>
    <row r="146" spans="1:8" x14ac:dyDescent="0.25">
      <c r="A146" s="3" t="s">
        <v>92</v>
      </c>
      <c r="B146" s="5" t="s">
        <v>186</v>
      </c>
      <c r="C146" s="4">
        <v>5</v>
      </c>
      <c r="D146" s="4">
        <v>1000</v>
      </c>
      <c r="E146" s="4">
        <f t="shared" si="2"/>
        <v>0</v>
      </c>
      <c r="F146" s="4">
        <v>9</v>
      </c>
      <c r="G146" s="4">
        <v>11</v>
      </c>
      <c r="H146" s="4">
        <v>13</v>
      </c>
    </row>
    <row r="147" spans="1:8" x14ac:dyDescent="0.25">
      <c r="A147" s="3" t="s">
        <v>56</v>
      </c>
      <c r="B147" s="4" t="s">
        <v>16</v>
      </c>
      <c r="C147" s="4" t="s">
        <v>16</v>
      </c>
      <c r="D147" s="4" t="s">
        <v>16</v>
      </c>
      <c r="E147" s="4" t="str">
        <f t="shared" si="2"/>
        <v>N/A</v>
      </c>
      <c r="F147" s="4" t="s">
        <v>16</v>
      </c>
      <c r="G147" s="4" t="s">
        <v>16</v>
      </c>
      <c r="H147" s="4" t="s">
        <v>16</v>
      </c>
    </row>
    <row r="148" spans="1:8" x14ac:dyDescent="0.25">
      <c r="A148" s="3" t="s">
        <v>93</v>
      </c>
      <c r="B148" s="5" t="s">
        <v>186</v>
      </c>
      <c r="C148" s="4">
        <v>5</v>
      </c>
      <c r="D148" s="4">
        <v>1000</v>
      </c>
      <c r="E148" s="4">
        <f t="shared" si="2"/>
        <v>0</v>
      </c>
      <c r="F148" s="4">
        <v>9</v>
      </c>
      <c r="G148" s="4">
        <v>11</v>
      </c>
      <c r="H148" s="4">
        <v>13</v>
      </c>
    </row>
    <row r="149" spans="1:8" x14ac:dyDescent="0.25">
      <c r="A149" s="3" t="s">
        <v>57</v>
      </c>
      <c r="B149" s="4" t="s">
        <v>16</v>
      </c>
      <c r="C149" s="4" t="s">
        <v>16</v>
      </c>
      <c r="D149" s="4" t="s">
        <v>16</v>
      </c>
      <c r="E149" s="4" t="str">
        <f t="shared" si="2"/>
        <v>N/A</v>
      </c>
      <c r="F149" s="4" t="s">
        <v>16</v>
      </c>
      <c r="G149" s="4" t="s">
        <v>16</v>
      </c>
      <c r="H149" s="4" t="s">
        <v>16</v>
      </c>
    </row>
    <row r="150" spans="1:8" x14ac:dyDescent="0.25">
      <c r="A150" s="3" t="s">
        <v>94</v>
      </c>
      <c r="B150" s="5" t="s">
        <v>186</v>
      </c>
      <c r="C150" s="4">
        <v>5</v>
      </c>
      <c r="D150" s="4">
        <v>1000</v>
      </c>
      <c r="E150" s="4">
        <f t="shared" si="2"/>
        <v>0</v>
      </c>
      <c r="F150" s="4">
        <v>9</v>
      </c>
      <c r="G150" s="4">
        <v>11</v>
      </c>
      <c r="H150" s="4">
        <v>13</v>
      </c>
    </row>
    <row r="151" spans="1:8" x14ac:dyDescent="0.25">
      <c r="A151" s="3" t="s">
        <v>58</v>
      </c>
      <c r="B151" s="5" t="s">
        <v>186</v>
      </c>
      <c r="C151" s="4">
        <v>5</v>
      </c>
      <c r="D151" s="4">
        <v>1000</v>
      </c>
      <c r="E151" s="4">
        <f t="shared" si="2"/>
        <v>0</v>
      </c>
      <c r="F151" s="4">
        <v>9</v>
      </c>
      <c r="G151" s="4">
        <v>11</v>
      </c>
      <c r="H151" s="4">
        <v>13</v>
      </c>
    </row>
    <row r="152" spans="1:8" x14ac:dyDescent="0.25">
      <c r="A152" s="3" t="s">
        <v>95</v>
      </c>
      <c r="B152" s="5" t="s">
        <v>186</v>
      </c>
      <c r="C152" s="4">
        <v>5</v>
      </c>
      <c r="D152" s="4">
        <v>1000</v>
      </c>
      <c r="E152" s="4">
        <f t="shared" si="2"/>
        <v>0</v>
      </c>
      <c r="F152" s="4">
        <v>9</v>
      </c>
      <c r="G152" s="4">
        <v>11</v>
      </c>
      <c r="H152" s="4">
        <v>13</v>
      </c>
    </row>
    <row r="153" spans="1:8" x14ac:dyDescent="0.25">
      <c r="A153" s="3" t="s">
        <v>59</v>
      </c>
      <c r="B153" s="4" t="s">
        <v>16</v>
      </c>
      <c r="C153" s="4" t="s">
        <v>16</v>
      </c>
      <c r="D153" s="4" t="s">
        <v>16</v>
      </c>
      <c r="E153" s="4" t="str">
        <f t="shared" si="2"/>
        <v>N/A</v>
      </c>
      <c r="F153" s="4" t="s">
        <v>16</v>
      </c>
      <c r="G153" s="4" t="s">
        <v>16</v>
      </c>
      <c r="H153" s="4" t="s">
        <v>16</v>
      </c>
    </row>
    <row r="154" spans="1:8" x14ac:dyDescent="0.25">
      <c r="A154" s="3" t="s">
        <v>96</v>
      </c>
      <c r="B154" s="5" t="s">
        <v>186</v>
      </c>
      <c r="C154" s="4">
        <v>5</v>
      </c>
      <c r="D154" s="4">
        <v>1000</v>
      </c>
      <c r="E154" s="4">
        <f t="shared" si="2"/>
        <v>0</v>
      </c>
      <c r="F154" s="4">
        <v>9</v>
      </c>
      <c r="G154" s="4">
        <v>11</v>
      </c>
      <c r="H154" s="4">
        <v>13</v>
      </c>
    </row>
    <row r="155" spans="1:8" x14ac:dyDescent="0.25">
      <c r="A155" s="3" t="s">
        <v>60</v>
      </c>
      <c r="B155" s="4" t="s">
        <v>16</v>
      </c>
      <c r="C155" s="4" t="s">
        <v>16</v>
      </c>
      <c r="D155" s="4" t="s">
        <v>16</v>
      </c>
      <c r="E155" s="4" t="str">
        <f t="shared" si="2"/>
        <v>N/A</v>
      </c>
      <c r="F155" s="4" t="s">
        <v>16</v>
      </c>
      <c r="G155" s="4" t="s">
        <v>16</v>
      </c>
      <c r="H155" s="4" t="s">
        <v>16</v>
      </c>
    </row>
    <row r="156" spans="1:8" x14ac:dyDescent="0.25">
      <c r="A156" s="3" t="s">
        <v>98</v>
      </c>
      <c r="B156" s="5" t="s">
        <v>187</v>
      </c>
      <c r="C156" s="4">
        <v>5</v>
      </c>
      <c r="D156" s="4">
        <v>1000</v>
      </c>
      <c r="E156" s="4">
        <f t="shared" si="2"/>
        <v>0</v>
      </c>
      <c r="F156" s="4">
        <v>9</v>
      </c>
      <c r="G156" s="4">
        <v>11</v>
      </c>
      <c r="H156" s="4">
        <v>13</v>
      </c>
    </row>
    <row r="157" spans="1:8" x14ac:dyDescent="0.25">
      <c r="A157" s="3" t="s">
        <v>62</v>
      </c>
      <c r="B157" s="5" t="s">
        <v>16</v>
      </c>
      <c r="C157" s="4" t="s">
        <v>16</v>
      </c>
      <c r="D157" s="4" t="s">
        <v>16</v>
      </c>
      <c r="E157" s="4" t="str">
        <f t="shared" si="2"/>
        <v>N/A</v>
      </c>
      <c r="F157" s="4" t="s">
        <v>16</v>
      </c>
      <c r="G157" s="4" t="s">
        <v>16</v>
      </c>
      <c r="H157" s="4" t="s">
        <v>16</v>
      </c>
    </row>
    <row r="158" spans="1:8" x14ac:dyDescent="0.25">
      <c r="A158" s="3" t="s">
        <v>102</v>
      </c>
      <c r="B158" s="5" t="s">
        <v>187</v>
      </c>
      <c r="C158" s="4">
        <v>5</v>
      </c>
      <c r="D158" s="4">
        <v>1000</v>
      </c>
      <c r="E158" s="4">
        <f t="shared" si="2"/>
        <v>0</v>
      </c>
      <c r="F158" s="4">
        <v>9</v>
      </c>
      <c r="G158" s="4">
        <v>11</v>
      </c>
      <c r="H158" s="4">
        <v>13</v>
      </c>
    </row>
    <row r="159" spans="1:8" x14ac:dyDescent="0.25">
      <c r="A159" s="3" t="s">
        <v>97</v>
      </c>
      <c r="B159" s="5" t="s">
        <v>187</v>
      </c>
      <c r="C159" s="4">
        <v>5</v>
      </c>
      <c r="D159" s="4">
        <v>1000</v>
      </c>
      <c r="E159" s="4">
        <f t="shared" si="2"/>
        <v>0</v>
      </c>
      <c r="F159" s="4">
        <v>9</v>
      </c>
      <c r="G159" s="4">
        <v>11</v>
      </c>
      <c r="H159" s="4">
        <v>13</v>
      </c>
    </row>
    <row r="160" spans="1:8" x14ac:dyDescent="0.25">
      <c r="A160" s="3" t="s">
        <v>61</v>
      </c>
      <c r="B160" s="4" t="s">
        <v>16</v>
      </c>
      <c r="C160" s="4" t="s">
        <v>16</v>
      </c>
      <c r="D160" s="4" t="s">
        <v>16</v>
      </c>
      <c r="E160" s="4" t="str">
        <f t="shared" si="2"/>
        <v>N/A</v>
      </c>
      <c r="F160" s="4" t="s">
        <v>16</v>
      </c>
      <c r="G160" s="4" t="s">
        <v>16</v>
      </c>
      <c r="H160" s="4" t="s">
        <v>16</v>
      </c>
    </row>
    <row r="161" spans="1:8" x14ac:dyDescent="0.25">
      <c r="A161" s="3" t="s">
        <v>104</v>
      </c>
      <c r="B161" s="5" t="s">
        <v>187</v>
      </c>
      <c r="C161" s="4">
        <v>5</v>
      </c>
      <c r="D161" s="4">
        <v>1000</v>
      </c>
      <c r="E161" s="4">
        <f t="shared" si="2"/>
        <v>0</v>
      </c>
      <c r="F161" s="4">
        <v>9</v>
      </c>
      <c r="G161" s="4">
        <v>11</v>
      </c>
      <c r="H161" s="4">
        <v>13</v>
      </c>
    </row>
    <row r="162" spans="1:8" x14ac:dyDescent="0.25">
      <c r="A162" s="3" t="s">
        <v>169</v>
      </c>
      <c r="B162" s="5" t="s">
        <v>187</v>
      </c>
      <c r="C162" s="4">
        <v>5</v>
      </c>
      <c r="D162" s="4">
        <v>1000</v>
      </c>
      <c r="E162" s="4">
        <f t="shared" si="2"/>
        <v>0</v>
      </c>
      <c r="F162" s="4">
        <v>9</v>
      </c>
      <c r="G162" s="4">
        <v>11</v>
      </c>
      <c r="H162" s="4">
        <v>13</v>
      </c>
    </row>
    <row r="163" spans="1:8" x14ac:dyDescent="0.25">
      <c r="A163" s="3" t="s">
        <v>170</v>
      </c>
      <c r="B163" s="5" t="s">
        <v>187</v>
      </c>
      <c r="C163" s="4">
        <v>5</v>
      </c>
      <c r="D163" s="4">
        <v>1000</v>
      </c>
      <c r="E163" s="4">
        <f t="shared" si="2"/>
        <v>0</v>
      </c>
      <c r="F163" s="4">
        <v>9</v>
      </c>
      <c r="G163" s="4">
        <v>11</v>
      </c>
      <c r="H163" s="4">
        <v>13</v>
      </c>
    </row>
    <row r="164" spans="1:8" x14ac:dyDescent="0.25">
      <c r="A164" s="3" t="s">
        <v>188</v>
      </c>
      <c r="B164" s="3" t="s">
        <v>187</v>
      </c>
      <c r="C164" s="4">
        <v>5</v>
      </c>
      <c r="D164" s="4">
        <v>1000</v>
      </c>
      <c r="E164" s="4">
        <f t="shared" si="2"/>
        <v>0</v>
      </c>
      <c r="F164" s="4">
        <v>9</v>
      </c>
      <c r="G164" s="4">
        <v>11</v>
      </c>
      <c r="H164" s="4">
        <v>13</v>
      </c>
    </row>
    <row r="165" spans="1:8" x14ac:dyDescent="0.25">
      <c r="A165" s="3" t="s">
        <v>196</v>
      </c>
      <c r="B165" s="3" t="s">
        <v>187</v>
      </c>
      <c r="C165" s="4">
        <v>5</v>
      </c>
      <c r="D165" s="4">
        <v>1000</v>
      </c>
      <c r="E165" s="4">
        <f t="shared" si="2"/>
        <v>0</v>
      </c>
      <c r="F165" s="4">
        <v>9</v>
      </c>
      <c r="G165" s="4">
        <v>11</v>
      </c>
      <c r="H165" s="4">
        <v>13</v>
      </c>
    </row>
    <row r="166" spans="1:8" x14ac:dyDescent="0.25">
      <c r="A166" s="11" t="s">
        <v>200</v>
      </c>
      <c r="B166" s="3" t="s">
        <v>187</v>
      </c>
      <c r="C166" s="4">
        <v>5</v>
      </c>
      <c r="D166" s="4">
        <v>1000</v>
      </c>
      <c r="E166" s="4">
        <f t="shared" ref="E166:E197" si="3">IF(C166="N/A","N/A",IF(C166=5,0,IF(AND(C166=4,D166=250),36,IF(AND(C166=4,D166=500),18,IF(AND(C166=4,D166=1000),8,"MISSING INFO")))))</f>
        <v>0</v>
      </c>
      <c r="F166" s="4">
        <v>9</v>
      </c>
      <c r="G166" s="4">
        <v>11</v>
      </c>
      <c r="H166" s="4">
        <v>13</v>
      </c>
    </row>
    <row r="167" spans="1:8" x14ac:dyDescent="0.25">
      <c r="A167" s="12" t="s">
        <v>201</v>
      </c>
      <c r="B167" s="3" t="s">
        <v>187</v>
      </c>
      <c r="C167" s="4">
        <v>5</v>
      </c>
      <c r="D167" s="4">
        <v>1000</v>
      </c>
      <c r="E167" s="4">
        <f t="shared" si="3"/>
        <v>0</v>
      </c>
      <c r="F167" s="4">
        <v>9</v>
      </c>
      <c r="G167" s="4">
        <v>11</v>
      </c>
      <c r="H167" s="4">
        <v>13</v>
      </c>
    </row>
    <row r="168" spans="1:8" x14ac:dyDescent="0.25">
      <c r="A168" s="12" t="s">
        <v>202</v>
      </c>
      <c r="B168" s="3" t="s">
        <v>187</v>
      </c>
      <c r="C168" s="4">
        <v>5</v>
      </c>
      <c r="D168" s="4">
        <v>1000</v>
      </c>
      <c r="E168" s="4">
        <f t="shared" si="3"/>
        <v>0</v>
      </c>
      <c r="F168" s="4">
        <v>9</v>
      </c>
      <c r="G168" s="4">
        <v>11</v>
      </c>
      <c r="H168" s="4">
        <v>13</v>
      </c>
    </row>
    <row r="169" spans="1:8" x14ac:dyDescent="0.25">
      <c r="A169" s="11" t="s">
        <v>203</v>
      </c>
      <c r="B169" s="3" t="s">
        <v>187</v>
      </c>
      <c r="C169" s="4">
        <v>5</v>
      </c>
      <c r="D169" s="4">
        <v>1000</v>
      </c>
      <c r="E169" s="4">
        <f t="shared" si="3"/>
        <v>0</v>
      </c>
      <c r="F169" s="4">
        <v>9</v>
      </c>
      <c r="G169" s="4">
        <v>11</v>
      </c>
      <c r="H169" s="4">
        <v>13</v>
      </c>
    </row>
    <row r="170" spans="1:8" x14ac:dyDescent="0.25">
      <c r="A170" s="11" t="s">
        <v>204</v>
      </c>
      <c r="B170" s="3" t="s">
        <v>187</v>
      </c>
      <c r="C170" s="4">
        <v>5</v>
      </c>
      <c r="D170" s="4">
        <v>1000</v>
      </c>
      <c r="E170" s="4">
        <f t="shared" si="3"/>
        <v>0</v>
      </c>
      <c r="F170" s="4">
        <v>9</v>
      </c>
      <c r="G170" s="4">
        <v>11</v>
      </c>
      <c r="H170" s="4">
        <v>13</v>
      </c>
    </row>
    <row r="171" spans="1:8" x14ac:dyDescent="0.25">
      <c r="A171" s="11" t="s">
        <v>205</v>
      </c>
      <c r="B171" s="3" t="s">
        <v>187</v>
      </c>
      <c r="C171" s="4">
        <v>5</v>
      </c>
      <c r="D171" s="4">
        <v>1000</v>
      </c>
      <c r="E171" s="4">
        <f t="shared" si="3"/>
        <v>0</v>
      </c>
      <c r="F171" s="4">
        <v>9</v>
      </c>
      <c r="G171" s="4">
        <v>11</v>
      </c>
      <c r="H171" s="4">
        <v>13</v>
      </c>
    </row>
    <row r="172" spans="1:8" x14ac:dyDescent="0.25">
      <c r="A172" s="11" t="s">
        <v>206</v>
      </c>
      <c r="B172" s="3" t="s">
        <v>187</v>
      </c>
      <c r="C172" s="4">
        <v>5</v>
      </c>
      <c r="D172" s="4">
        <v>1000</v>
      </c>
      <c r="E172" s="4">
        <f t="shared" si="3"/>
        <v>0</v>
      </c>
      <c r="F172" s="4">
        <v>9</v>
      </c>
      <c r="G172" s="4">
        <v>11</v>
      </c>
      <c r="H172" s="4">
        <v>13</v>
      </c>
    </row>
    <row r="173" spans="1:8" x14ac:dyDescent="0.25">
      <c r="A173" s="11" t="s">
        <v>207</v>
      </c>
      <c r="B173" s="3" t="s">
        <v>187</v>
      </c>
      <c r="C173" s="4">
        <v>5</v>
      </c>
      <c r="D173" s="4">
        <v>1000</v>
      </c>
      <c r="E173" s="4">
        <f t="shared" si="3"/>
        <v>0</v>
      </c>
      <c r="F173" s="4">
        <v>9</v>
      </c>
      <c r="G173" s="4">
        <v>11</v>
      </c>
      <c r="H173" s="4">
        <v>13</v>
      </c>
    </row>
    <row r="174" spans="1:8" x14ac:dyDescent="0.25">
      <c r="A174" s="11" t="s">
        <v>208</v>
      </c>
      <c r="B174" s="3" t="s">
        <v>187</v>
      </c>
      <c r="C174" s="4">
        <v>5</v>
      </c>
      <c r="D174" s="4">
        <v>1000</v>
      </c>
      <c r="E174" s="4">
        <f t="shared" si="3"/>
        <v>0</v>
      </c>
      <c r="F174" s="4">
        <v>9</v>
      </c>
      <c r="G174" s="4">
        <v>11</v>
      </c>
      <c r="H174" s="4">
        <v>13</v>
      </c>
    </row>
    <row r="175" spans="1:8" x14ac:dyDescent="0.25">
      <c r="A175" s="11" t="s">
        <v>209</v>
      </c>
      <c r="B175" s="3" t="s">
        <v>187</v>
      </c>
      <c r="C175" s="4">
        <v>5</v>
      </c>
      <c r="D175" s="4">
        <v>1000</v>
      </c>
      <c r="E175" s="4">
        <f t="shared" si="3"/>
        <v>0</v>
      </c>
      <c r="F175" s="4">
        <v>9</v>
      </c>
      <c r="G175" s="4">
        <v>11</v>
      </c>
      <c r="H175" s="4">
        <v>13</v>
      </c>
    </row>
    <row r="176" spans="1:8" x14ac:dyDescent="0.25">
      <c r="A176" s="11" t="s">
        <v>210</v>
      </c>
      <c r="B176" s="3" t="s">
        <v>187</v>
      </c>
      <c r="C176" s="4">
        <v>5</v>
      </c>
      <c r="D176" s="4">
        <v>1000</v>
      </c>
      <c r="E176" s="4">
        <f t="shared" si="3"/>
        <v>0</v>
      </c>
      <c r="F176" s="4">
        <v>9</v>
      </c>
      <c r="G176" s="4">
        <v>11</v>
      </c>
      <c r="H176" s="4">
        <v>13</v>
      </c>
    </row>
    <row r="177" spans="1:8" x14ac:dyDescent="0.25">
      <c r="A177" s="11" t="s">
        <v>211</v>
      </c>
      <c r="B177" s="3" t="s">
        <v>187</v>
      </c>
      <c r="C177" s="4">
        <v>5</v>
      </c>
      <c r="D177" s="4">
        <v>1000</v>
      </c>
      <c r="E177" s="4">
        <f t="shared" si="3"/>
        <v>0</v>
      </c>
      <c r="F177" s="4">
        <v>9</v>
      </c>
      <c r="G177" s="4">
        <v>11</v>
      </c>
      <c r="H177" s="4">
        <v>13</v>
      </c>
    </row>
    <row r="178" spans="1:8" x14ac:dyDescent="0.25">
      <c r="A178" s="11" t="s">
        <v>212</v>
      </c>
      <c r="B178" s="3" t="s">
        <v>187</v>
      </c>
      <c r="C178" s="4">
        <v>5</v>
      </c>
      <c r="D178" s="4">
        <v>1000</v>
      </c>
      <c r="E178" s="4">
        <f t="shared" si="3"/>
        <v>0</v>
      </c>
      <c r="F178" s="4">
        <v>9</v>
      </c>
      <c r="G178" s="4">
        <v>11</v>
      </c>
      <c r="H178" s="4">
        <v>13</v>
      </c>
    </row>
    <row r="179" spans="1:8" x14ac:dyDescent="0.25">
      <c r="A179" s="11" t="s">
        <v>213</v>
      </c>
      <c r="B179" s="3" t="s">
        <v>187</v>
      </c>
      <c r="C179" s="4">
        <v>5</v>
      </c>
      <c r="D179" s="4">
        <v>1000</v>
      </c>
      <c r="E179" s="4">
        <f t="shared" si="3"/>
        <v>0</v>
      </c>
      <c r="F179" s="4">
        <v>9</v>
      </c>
      <c r="G179" s="4">
        <v>11</v>
      </c>
      <c r="H179" s="4">
        <v>13</v>
      </c>
    </row>
    <row r="180" spans="1:8" x14ac:dyDescent="0.25">
      <c r="A180" s="11" t="s">
        <v>214</v>
      </c>
      <c r="B180" s="3" t="s">
        <v>187</v>
      </c>
      <c r="C180" s="4">
        <v>5</v>
      </c>
      <c r="D180" s="4">
        <v>1000</v>
      </c>
      <c r="E180" s="4">
        <f t="shared" si="3"/>
        <v>0</v>
      </c>
      <c r="F180" s="4">
        <v>9</v>
      </c>
      <c r="G180" s="4">
        <v>11</v>
      </c>
      <c r="H180" s="4">
        <v>13</v>
      </c>
    </row>
    <row r="181" spans="1:8" x14ac:dyDescent="0.25">
      <c r="A181" s="11" t="s">
        <v>215</v>
      </c>
      <c r="B181" s="3" t="s">
        <v>187</v>
      </c>
      <c r="C181" s="4">
        <v>5</v>
      </c>
      <c r="D181" s="4">
        <v>1000</v>
      </c>
      <c r="E181" s="4">
        <f t="shared" si="3"/>
        <v>0</v>
      </c>
      <c r="F181" s="4">
        <v>9</v>
      </c>
      <c r="G181" s="4">
        <v>11</v>
      </c>
      <c r="H181" s="4">
        <v>13</v>
      </c>
    </row>
    <row r="182" spans="1:8" x14ac:dyDescent="0.25">
      <c r="A182" s="11" t="s">
        <v>216</v>
      </c>
      <c r="B182" s="3" t="s">
        <v>187</v>
      </c>
      <c r="C182" s="4">
        <v>5</v>
      </c>
      <c r="D182" s="4">
        <v>1000</v>
      </c>
      <c r="E182" s="4">
        <f t="shared" si="3"/>
        <v>0</v>
      </c>
      <c r="F182" s="4">
        <v>9</v>
      </c>
      <c r="G182" s="4">
        <v>11</v>
      </c>
      <c r="H182" s="4">
        <v>13</v>
      </c>
    </row>
    <row r="183" spans="1:8" x14ac:dyDescent="0.25">
      <c r="A183" s="11" t="s">
        <v>217</v>
      </c>
      <c r="B183" s="3" t="s">
        <v>187</v>
      </c>
      <c r="C183" s="4">
        <v>5</v>
      </c>
      <c r="D183" s="4">
        <v>1000</v>
      </c>
      <c r="E183" s="4">
        <f t="shared" si="3"/>
        <v>0</v>
      </c>
      <c r="F183" s="4">
        <v>9</v>
      </c>
      <c r="G183" s="4">
        <v>11</v>
      </c>
      <c r="H183" s="4">
        <v>13</v>
      </c>
    </row>
    <row r="184" spans="1:8" x14ac:dyDescent="0.25">
      <c r="A184" s="11" t="s">
        <v>218</v>
      </c>
      <c r="B184" s="3" t="s">
        <v>187</v>
      </c>
      <c r="C184" s="4">
        <v>5</v>
      </c>
      <c r="D184" s="4">
        <v>1000</v>
      </c>
      <c r="E184" s="4">
        <f t="shared" si="3"/>
        <v>0</v>
      </c>
      <c r="F184" s="4">
        <v>9</v>
      </c>
      <c r="G184" s="4">
        <v>11</v>
      </c>
      <c r="H184" s="4">
        <v>13</v>
      </c>
    </row>
    <row r="185" spans="1:8" x14ac:dyDescent="0.25">
      <c r="A185" s="11" t="s">
        <v>219</v>
      </c>
      <c r="B185" s="3" t="s">
        <v>187</v>
      </c>
      <c r="C185" s="4">
        <v>5</v>
      </c>
      <c r="D185" s="4">
        <v>1000</v>
      </c>
      <c r="E185" s="4">
        <f t="shared" si="3"/>
        <v>0</v>
      </c>
      <c r="F185" s="4">
        <v>9</v>
      </c>
      <c r="G185" s="4">
        <v>11</v>
      </c>
      <c r="H185" s="4">
        <v>13</v>
      </c>
    </row>
    <row r="186" spans="1:8" x14ac:dyDescent="0.25">
      <c r="A186" s="11" t="s">
        <v>220</v>
      </c>
      <c r="B186" s="3" t="s">
        <v>187</v>
      </c>
      <c r="C186" s="4">
        <v>5</v>
      </c>
      <c r="D186" s="4">
        <v>1000</v>
      </c>
      <c r="E186" s="4">
        <f t="shared" si="3"/>
        <v>0</v>
      </c>
      <c r="F186" s="4">
        <v>9</v>
      </c>
      <c r="G186" s="4">
        <v>11</v>
      </c>
      <c r="H186" s="4">
        <v>13</v>
      </c>
    </row>
    <row r="187" spans="1:8" x14ac:dyDescent="0.25">
      <c r="A187" s="11" t="s">
        <v>221</v>
      </c>
      <c r="B187" s="3" t="s">
        <v>187</v>
      </c>
      <c r="C187" s="4">
        <v>5</v>
      </c>
      <c r="D187" s="4">
        <v>1000</v>
      </c>
      <c r="E187" s="4">
        <f t="shared" si="3"/>
        <v>0</v>
      </c>
      <c r="F187" s="4">
        <v>9</v>
      </c>
      <c r="G187" s="4">
        <v>11</v>
      </c>
      <c r="H187" s="4">
        <v>13</v>
      </c>
    </row>
    <row r="188" spans="1:8" x14ac:dyDescent="0.25">
      <c r="A188" s="11" t="s">
        <v>222</v>
      </c>
      <c r="B188" s="3" t="s">
        <v>187</v>
      </c>
      <c r="C188" s="4">
        <v>5</v>
      </c>
      <c r="D188" s="4">
        <v>1000</v>
      </c>
      <c r="E188" s="4">
        <f t="shared" si="3"/>
        <v>0</v>
      </c>
      <c r="F188" s="4">
        <v>9</v>
      </c>
      <c r="G188" s="4">
        <v>11</v>
      </c>
      <c r="H188" s="4">
        <v>13</v>
      </c>
    </row>
    <row r="189" spans="1:8" x14ac:dyDescent="0.25">
      <c r="A189" s="11" t="s">
        <v>223</v>
      </c>
      <c r="B189" s="3" t="s">
        <v>187</v>
      </c>
      <c r="C189" s="4">
        <v>5</v>
      </c>
      <c r="D189" s="4">
        <v>1000</v>
      </c>
      <c r="E189" s="4">
        <f t="shared" si="3"/>
        <v>0</v>
      </c>
      <c r="F189" s="4">
        <v>9</v>
      </c>
      <c r="G189" s="4">
        <v>11</v>
      </c>
      <c r="H189" s="4">
        <v>13</v>
      </c>
    </row>
    <row r="190" spans="1:8" x14ac:dyDescent="0.25">
      <c r="A190" s="11" t="s">
        <v>224</v>
      </c>
      <c r="B190" s="3" t="s">
        <v>187</v>
      </c>
      <c r="C190" s="4">
        <v>5</v>
      </c>
      <c r="D190" s="4">
        <v>1000</v>
      </c>
      <c r="E190" s="4">
        <f t="shared" si="3"/>
        <v>0</v>
      </c>
      <c r="F190" s="4">
        <v>9</v>
      </c>
      <c r="G190" s="4">
        <v>11</v>
      </c>
      <c r="H190" s="4">
        <v>13</v>
      </c>
    </row>
    <row r="191" spans="1:8" x14ac:dyDescent="0.25">
      <c r="A191" s="11" t="s">
        <v>225</v>
      </c>
      <c r="B191" s="3" t="s">
        <v>187</v>
      </c>
      <c r="C191" s="4">
        <v>5</v>
      </c>
      <c r="D191" s="4">
        <v>1000</v>
      </c>
      <c r="E191" s="4">
        <f t="shared" si="3"/>
        <v>0</v>
      </c>
      <c r="F191" s="4">
        <v>9</v>
      </c>
      <c r="G191" s="4">
        <v>11</v>
      </c>
      <c r="H191" s="4">
        <v>13</v>
      </c>
    </row>
    <row r="192" spans="1:8" x14ac:dyDescent="0.25">
      <c r="A192" s="11" t="s">
        <v>226</v>
      </c>
      <c r="B192" s="3" t="s">
        <v>187</v>
      </c>
      <c r="C192" s="4">
        <v>5</v>
      </c>
      <c r="D192" s="4">
        <v>1000</v>
      </c>
      <c r="E192" s="4">
        <f t="shared" si="3"/>
        <v>0</v>
      </c>
      <c r="F192" s="4">
        <v>9</v>
      </c>
      <c r="G192" s="4">
        <v>11</v>
      </c>
      <c r="H192" s="4">
        <v>13</v>
      </c>
    </row>
    <row r="193" spans="1:8" x14ac:dyDescent="0.25">
      <c r="A193" s="11" t="s">
        <v>227</v>
      </c>
      <c r="B193" s="3" t="s">
        <v>187</v>
      </c>
      <c r="C193" s="4">
        <v>5</v>
      </c>
      <c r="D193" s="4">
        <v>1000</v>
      </c>
      <c r="E193" s="4">
        <f t="shared" si="3"/>
        <v>0</v>
      </c>
      <c r="F193" s="4">
        <v>9</v>
      </c>
      <c r="G193" s="4">
        <v>11</v>
      </c>
      <c r="H193" s="4">
        <v>13</v>
      </c>
    </row>
    <row r="194" spans="1:8" x14ac:dyDescent="0.25">
      <c r="A194" s="11" t="s">
        <v>228</v>
      </c>
      <c r="B194" s="3" t="s">
        <v>187</v>
      </c>
      <c r="C194" s="4">
        <v>5</v>
      </c>
      <c r="D194" s="4">
        <v>1000</v>
      </c>
      <c r="E194" s="4">
        <f t="shared" si="3"/>
        <v>0</v>
      </c>
      <c r="F194" s="4">
        <v>9</v>
      </c>
      <c r="G194" s="4">
        <v>11</v>
      </c>
      <c r="H194" s="4">
        <v>13</v>
      </c>
    </row>
    <row r="195" spans="1:8" x14ac:dyDescent="0.25">
      <c r="A195" s="11" t="s">
        <v>229</v>
      </c>
      <c r="B195" s="3" t="s">
        <v>187</v>
      </c>
      <c r="C195" s="4">
        <v>5</v>
      </c>
      <c r="D195" s="4">
        <v>1000</v>
      </c>
      <c r="E195" s="4">
        <f t="shared" si="3"/>
        <v>0</v>
      </c>
      <c r="F195" s="4">
        <v>9</v>
      </c>
      <c r="G195" s="4">
        <v>11</v>
      </c>
      <c r="H195" s="4">
        <v>13</v>
      </c>
    </row>
    <row r="196" spans="1:8" x14ac:dyDescent="0.25">
      <c r="A196" s="11" t="s">
        <v>230</v>
      </c>
      <c r="B196" s="3" t="s">
        <v>187</v>
      </c>
      <c r="C196" s="4">
        <v>5</v>
      </c>
      <c r="D196" s="4">
        <v>1000</v>
      </c>
      <c r="E196" s="4">
        <f t="shared" si="3"/>
        <v>0</v>
      </c>
      <c r="F196" s="4">
        <v>9</v>
      </c>
      <c r="G196" s="4">
        <v>11</v>
      </c>
      <c r="H196" s="4">
        <v>13</v>
      </c>
    </row>
    <row r="197" spans="1:8" x14ac:dyDescent="0.25">
      <c r="A197" s="11" t="s">
        <v>231</v>
      </c>
      <c r="B197" s="3" t="s">
        <v>187</v>
      </c>
      <c r="C197" s="4">
        <v>5</v>
      </c>
      <c r="D197" s="4">
        <v>1000</v>
      </c>
      <c r="E197" s="4">
        <f t="shared" si="3"/>
        <v>0</v>
      </c>
      <c r="F197" s="4">
        <v>9</v>
      </c>
      <c r="G197" s="4">
        <v>11</v>
      </c>
      <c r="H197" s="4">
        <v>13</v>
      </c>
    </row>
  </sheetData>
  <sortState ref="A2:D152">
    <sortCondition ref="A1"/>
  </sortState>
  <conditionalFormatting sqref="E1:E1048576">
    <cfRule type="containsText" dxfId="0" priority="1" operator="containsText" text="MISSING INFO">
      <formula>NOT(ISERROR(SEARCH("MISSING INFO",E1)))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SubjInfo</vt:lpstr>
      <vt:lpstr>SyncCalc</vt:lpstr>
      <vt:lpstr>Output</vt:lpstr>
      <vt:lpstr>NetstationInfo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klavigne</dc:creator>
  <cp:lastModifiedBy>klavigne</cp:lastModifiedBy>
  <cp:lastPrinted>2016-01-13T19:44:15Z</cp:lastPrinted>
  <dcterms:created xsi:type="dcterms:W3CDTF">2015-09-11T20:54:16Z</dcterms:created>
  <dcterms:modified xsi:type="dcterms:W3CDTF">2017-01-31T13:30:41Z</dcterms:modified>
</cp:coreProperties>
</file>